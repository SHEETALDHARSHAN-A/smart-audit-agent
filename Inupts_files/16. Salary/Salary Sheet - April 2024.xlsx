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thapovanind-my.sharepoint.com/personal/thapovanoperations_thapovan-inc_com/Documents/THAPOVAN OPERATIONS/ACCOUNTS AND FINANCE/Prayag.AI Private Limited/Smart Audit Agent/16. Salary Ledger/"/>
    </mc:Choice>
  </mc:AlternateContent>
  <xr:revisionPtr revIDLastSave="32" documentId="13_ncr:1_{7EE812DE-07DD-4499-8491-9B855DF8B503}" xr6:coauthVersionLast="47" xr6:coauthVersionMax="47" xr10:uidLastSave="{5BC674DE-D6CA-473F-A2C4-7323BF85DCB7}"/>
  <bookViews>
    <workbookView xWindow="-109" yWindow="-109" windowWidth="26301" windowHeight="14169" firstSheet="1" activeTab="1" xr2:uid="{00000000-000D-0000-FFFF-FFFF00000000}"/>
  </bookViews>
  <sheets>
    <sheet name="Top-Sheet" sheetId="3" r:id="rId1"/>
    <sheet name="P.1" sheetId="1" r:id="rId2"/>
    <sheet name="P.2" sheetId="2" r:id="rId3"/>
    <sheet name="P.3" sheetId="6" r:id="rId4"/>
    <sheet name="P.4" sheetId="7" r:id="rId5"/>
    <sheet name="P.5" sheetId="8" r:id="rId6"/>
  </sheets>
  <externalReferences>
    <externalReference r:id="rId7"/>
  </externalReferences>
  <definedNames>
    <definedName name="_xlnm._FilterDatabase" localSheetId="1" hidden="1">P.1!$B$9:$AT$11</definedName>
    <definedName name="_xlnm._FilterDatabase" localSheetId="2" hidden="1">P.2!$B$7:$L$9</definedName>
    <definedName name="_xlnm._FilterDatabase" localSheetId="3" hidden="1">P.3!$B$7:$AB$9</definedName>
    <definedName name="_xlnm._FilterDatabase" localSheetId="4" hidden="1">P.4!$B$7:$K$9</definedName>
    <definedName name="_xlnm._FilterDatabase" localSheetId="5" hidden="1">P.5!$B$7:$V$9</definedName>
    <definedName name="_xlnm._FilterDatabase" localSheetId="0" hidden="1">'Top-Sheet'!$B$6:$D$11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L10" i="1" s="1"/>
  <c r="N10" i="1"/>
  <c r="O10" i="1" s="1"/>
  <c r="AH10" i="1"/>
  <c r="AJ10" i="1"/>
  <c r="AK10" i="1"/>
  <c r="B11" i="1"/>
  <c r="K11" i="1"/>
  <c r="L11" i="1" s="1"/>
  <c r="N11" i="1"/>
  <c r="O11" i="1" s="1"/>
  <c r="AH11" i="1"/>
  <c r="AJ11" i="1"/>
  <c r="AK11" i="1"/>
  <c r="P10" i="1" l="1"/>
  <c r="R10" i="1" s="1"/>
  <c r="S10" i="1" s="1"/>
  <c r="AN10" i="1"/>
  <c r="P11" i="1"/>
  <c r="R11" i="1" s="1"/>
  <c r="Q11" i="1"/>
  <c r="AN11" i="1"/>
  <c r="Q10" i="1"/>
  <c r="G6" i="1"/>
  <c r="G5" i="1"/>
  <c r="G4" i="1"/>
  <c r="G3" i="1"/>
  <c r="AR10" i="1" l="1"/>
  <c r="AB10" i="1" s="1"/>
  <c r="V11" i="1"/>
  <c r="W11" i="1"/>
  <c r="U11" i="1"/>
  <c r="U10" i="1"/>
  <c r="V10" i="1"/>
  <c r="W10" i="1"/>
  <c r="S11" i="1"/>
  <c r="AR11" i="1" s="1"/>
  <c r="AB11" i="1" s="1"/>
  <c r="AG11" i="1"/>
  <c r="K6" i="1"/>
  <c r="K5" i="1"/>
  <c r="K4" i="1"/>
  <c r="K3" i="1"/>
  <c r="K2" i="1"/>
  <c r="AG10" i="1" l="1"/>
  <c r="D11" i="3" l="1"/>
  <c r="C11" i="3"/>
  <c r="D10" i="3"/>
  <c r="C10" i="3"/>
  <c r="D9" i="3"/>
  <c r="C9" i="3"/>
  <c r="D8" i="3"/>
  <c r="C8" i="3"/>
  <c r="D7" i="3"/>
  <c r="B8" i="3"/>
  <c r="B9" i="3" s="1"/>
  <c r="B10" i="3" s="1"/>
  <c r="B11" i="3" s="1"/>
  <c r="D9" i="8" l="1"/>
  <c r="C9" i="8"/>
  <c r="J9" i="2"/>
  <c r="E9" i="2"/>
  <c r="D9" i="2"/>
  <c r="J8" i="2"/>
  <c r="E8" i="2" l="1"/>
  <c r="D8" i="2"/>
  <c r="B9" i="2"/>
  <c r="D9" i="6"/>
  <c r="C9" i="6"/>
  <c r="E9" i="7"/>
  <c r="F9" i="7" s="1"/>
  <c r="D9" i="7"/>
  <c r="C9" i="7"/>
  <c r="G9" i="7"/>
  <c r="B9" i="8"/>
  <c r="D8" i="8"/>
  <c r="C8" i="8"/>
  <c r="E8" i="7"/>
  <c r="F8" i="7" s="1"/>
  <c r="D8" i="7"/>
  <c r="C8" i="7"/>
  <c r="B9" i="7"/>
  <c r="D8" i="6"/>
  <c r="C8" i="6"/>
  <c r="B9" i="6"/>
  <c r="I9" i="7" l="1"/>
  <c r="B5" i="1"/>
  <c r="B3" i="7" s="1"/>
  <c r="B4" i="1"/>
  <c r="B2" i="8" s="1"/>
  <c r="F9" i="6" l="1"/>
  <c r="J9" i="7"/>
  <c r="K9" i="7" s="1"/>
  <c r="AF11" i="1" s="1"/>
  <c r="T11" i="1" s="1"/>
  <c r="AD11" i="1" s="1"/>
  <c r="G8" i="7"/>
  <c r="I8" i="7" s="1"/>
  <c r="B3" i="8"/>
  <c r="C7" i="3"/>
  <c r="B3" i="6"/>
  <c r="B2" i="2"/>
  <c r="B3" i="2"/>
  <c r="B2" i="6"/>
  <c r="B2" i="7"/>
  <c r="AP11" i="1" l="1"/>
  <c r="F8" i="6"/>
  <c r="J8" i="7"/>
  <c r="K8" i="7" s="1"/>
  <c r="AF10" i="1" s="1"/>
  <c r="T10" i="1" s="1"/>
  <c r="AD10" i="1" s="1"/>
  <c r="AP10" i="1" l="1"/>
  <c r="E9" i="6" l="1"/>
  <c r="H9" i="6" s="1"/>
  <c r="I9" i="6" s="1"/>
  <c r="E8" i="6"/>
  <c r="H8" i="6" s="1"/>
  <c r="J8" i="6" s="1"/>
  <c r="I8" i="6" l="1"/>
  <c r="K8" i="6" s="1"/>
  <c r="J9" i="6"/>
  <c r="K9" i="6" l="1"/>
  <c r="L9" i="6" s="1"/>
  <c r="M9" i="6" s="1"/>
  <c r="N9" i="6" s="1"/>
  <c r="O9" i="6" s="1"/>
  <c r="AL11" i="1" s="1"/>
  <c r="AO11" i="1" s="1"/>
  <c r="AT11" i="1" s="1"/>
  <c r="L8" i="6"/>
  <c r="M8" i="6" s="1"/>
  <c r="N8" i="6" s="1"/>
  <c r="O8" i="6" s="1"/>
  <c r="AL10" i="1" l="1"/>
  <c r="AO10" i="1" s="1"/>
  <c r="AT10" i="1" s="1"/>
  <c r="I8" i="2" s="1"/>
  <c r="I9" i="2" l="1"/>
  <c r="L9" i="2" s="1"/>
  <c r="AA9" i="6"/>
  <c r="AB9" i="6" s="1"/>
  <c r="L8" i="2"/>
  <c r="AA8" i="6" l="1"/>
  <c r="AB8" i="6" s="1"/>
</calcChain>
</file>

<file path=xl/sharedStrings.xml><?xml version="1.0" encoding="utf-8"?>
<sst xmlns="http://schemas.openxmlformats.org/spreadsheetml/2006/main" count="127" uniqueCount="101">
  <si>
    <t>Thapovan Info Systems Private Limited</t>
  </si>
  <si>
    <t>Salary Sheet - April 2024</t>
  </si>
  <si>
    <t>Sl. No.</t>
  </si>
  <si>
    <t>Particulars</t>
  </si>
  <si>
    <t>Name of the Sheet</t>
  </si>
  <si>
    <t>Band</t>
  </si>
  <si>
    <t>Range CTC</t>
  </si>
  <si>
    <t xml:space="preserve">Fixed </t>
  </si>
  <si>
    <t>Variable</t>
  </si>
  <si>
    <t>I</t>
  </si>
  <si>
    <t>to</t>
  </si>
  <si>
    <t>II</t>
  </si>
  <si>
    <t>III</t>
  </si>
  <si>
    <t>IV</t>
  </si>
  <si>
    <t>P.1</t>
  </si>
  <si>
    <t>V</t>
  </si>
  <si>
    <t xml:space="preserve">and </t>
  </si>
  <si>
    <t>above</t>
  </si>
  <si>
    <t>Employee Number</t>
  </si>
  <si>
    <t>Employee Name</t>
  </si>
  <si>
    <t>Joining Date</t>
  </si>
  <si>
    <t>Date of Releiving</t>
  </si>
  <si>
    <t>No of Days</t>
  </si>
  <si>
    <t>LOP</t>
  </si>
  <si>
    <t>2024 CTC Yearly</t>
  </si>
  <si>
    <t>CTC Yearly</t>
  </si>
  <si>
    <t>CTC Monthly</t>
  </si>
  <si>
    <t>Gratuity Changed</t>
  </si>
  <si>
    <t>Variable Pay</t>
  </si>
  <si>
    <t>Fixed</t>
  </si>
  <si>
    <t xml:space="preserve">Basic </t>
  </si>
  <si>
    <t>HRA</t>
  </si>
  <si>
    <t>Special Allowance</t>
  </si>
  <si>
    <t>IPI</t>
  </si>
  <si>
    <t>TPI</t>
  </si>
  <si>
    <t>CPI</t>
  </si>
  <si>
    <t>Loyalty bonus</t>
  </si>
  <si>
    <t xml:space="preserve"> Star Club</t>
  </si>
  <si>
    <t>Project Incentive</t>
  </si>
  <si>
    <t>Reimbursement</t>
  </si>
  <si>
    <t>Leave Encashment</t>
  </si>
  <si>
    <t>Annual Bonus</t>
  </si>
  <si>
    <t>Total Earnings</t>
  </si>
  <si>
    <t>EPF Basics</t>
  </si>
  <si>
    <t>Gratuity</t>
  </si>
  <si>
    <t>Total other than Spl Allowance</t>
  </si>
  <si>
    <t>EPF</t>
  </si>
  <si>
    <t>ESI</t>
  </si>
  <si>
    <t>PT</t>
  </si>
  <si>
    <t>Salary Loan</t>
  </si>
  <si>
    <t>TDS</t>
  </si>
  <si>
    <t>Other Deduction</t>
  </si>
  <si>
    <t>LOP Deduction</t>
  </si>
  <si>
    <t>Net Payable</t>
  </si>
  <si>
    <t>Old Net Payable</t>
  </si>
  <si>
    <t>Appraisal Salary</t>
  </si>
  <si>
    <t>Prabu A</t>
  </si>
  <si>
    <t>Jeyanthi J</t>
  </si>
  <si>
    <t>Bank Upload</t>
  </si>
  <si>
    <t>P.2</t>
  </si>
  <si>
    <t>Narration</t>
  </si>
  <si>
    <t>Bank Account Number</t>
  </si>
  <si>
    <t>IFS Code</t>
  </si>
  <si>
    <t>Account Type</t>
  </si>
  <si>
    <t>Amount (in Rs.)</t>
  </si>
  <si>
    <t>Date</t>
  </si>
  <si>
    <t>Comma</t>
  </si>
  <si>
    <t>Bank Upload Line</t>
  </si>
  <si>
    <t>Salary April 2024</t>
  </si>
  <si>
    <t>HDFC0000206</t>
  </si>
  <si>
    <t>,</t>
  </si>
  <si>
    <t>HDFC0000260</t>
  </si>
  <si>
    <t>TDS Computation</t>
  </si>
  <si>
    <t>P.3</t>
  </si>
  <si>
    <t>Other Earnings (Salary)</t>
  </si>
  <si>
    <t>Standard Deduction</t>
  </si>
  <si>
    <t>Taxable Income</t>
  </si>
  <si>
    <t>Tax on Total Income</t>
  </si>
  <si>
    <t>Rebate</t>
  </si>
  <si>
    <t>Tax Payable</t>
  </si>
  <si>
    <t>Cess</t>
  </si>
  <si>
    <t>Total Tax Payable</t>
  </si>
  <si>
    <t>TDS per month</t>
  </si>
  <si>
    <t>Total TDS Deducted</t>
  </si>
  <si>
    <t>Balance to be Deducted</t>
  </si>
  <si>
    <t>Gratuity Computation</t>
  </si>
  <si>
    <t>P.4</t>
  </si>
  <si>
    <t>Number of years of service</t>
  </si>
  <si>
    <t>Current Basic Salary</t>
  </si>
  <si>
    <t>Old Basic Salary</t>
  </si>
  <si>
    <t>Gratuity per month - Current</t>
  </si>
  <si>
    <t>Gratuity per month - Old</t>
  </si>
  <si>
    <t>Total Gratuity per month</t>
  </si>
  <si>
    <t>Loan master</t>
  </si>
  <si>
    <t>P.5</t>
  </si>
  <si>
    <t>Amount of Loan Taken</t>
  </si>
  <si>
    <t>Date of Loan Issued</t>
  </si>
  <si>
    <t>Tenure of the Loan (in months)</t>
  </si>
  <si>
    <t>Monthly Instalments</t>
  </si>
  <si>
    <t>Opening balance as on 01/04/2024</t>
  </si>
  <si>
    <t>Closing Balance as on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</si>
</sst>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" fontId="2" fillId="0" borderId="1" xfId="0" applyNumberFormat="1" applyFont="1" applyBorder="1" applyAlignment="1">
      <alignment horizontal="center" vertical="center"/>
    </xf>
    <xf numFmtId="164" fontId="0" fillId="0" borderId="1" xfId="1" applyFont="1" applyBorder="1"/>
    <xf numFmtId="16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5" fontId="0" fillId="0" borderId="1" xfId="0" applyNumberFormat="1" applyBorder="1"/>
    <xf numFmtId="9" fontId="0" fillId="0" borderId="1" xfId="2" applyFont="1" applyBorder="1"/>
    <xf numFmtId="10" fontId="0" fillId="0" borderId="0" xfId="2" applyNumberFormat="1" applyFont="1"/>
    <xf numFmtId="164" fontId="2" fillId="0" borderId="0" xfId="1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 indent="1"/>
    </xf>
    <xf numFmtId="164" fontId="0" fillId="0" borderId="1" xfId="1" applyFont="1" applyBorder="1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8" fillId="0" borderId="0" xfId="0" applyFont="1"/>
    <xf numFmtId="0" fontId="10" fillId="0" borderId="5" xfId="0" applyFont="1" applyBorder="1" applyAlignment="1">
      <alignment horizontal="center"/>
    </xf>
    <xf numFmtId="0" fontId="11" fillId="0" borderId="0" xfId="0" applyFont="1"/>
    <xf numFmtId="164" fontId="11" fillId="0" borderId="5" xfId="1" applyFont="1" applyBorder="1"/>
    <xf numFmtId="0" fontId="11" fillId="0" borderId="5" xfId="0" applyFont="1" applyBorder="1" applyAlignment="1">
      <alignment horizontal="center" vertical="center"/>
    </xf>
    <xf numFmtId="164" fontId="11" fillId="0" borderId="5" xfId="0" applyNumberFormat="1" applyFont="1" applyBorder="1"/>
    <xf numFmtId="10" fontId="11" fillId="0" borderId="5" xfId="0" applyNumberFormat="1" applyFont="1" applyBorder="1"/>
    <xf numFmtId="4" fontId="11" fillId="0" borderId="5" xfId="0" applyNumberFormat="1" applyFont="1" applyBorder="1"/>
    <xf numFmtId="0" fontId="8" fillId="0" borderId="2" xfId="0" applyFont="1" applyBorder="1" applyAlignment="1">
      <alignment horizontal="center"/>
    </xf>
    <xf numFmtId="0" fontId="9" fillId="0" borderId="3" xfId="0" applyFont="1" applyBorder="1" applyAlignment="1"/>
    <xf numFmtId="0" fontId="9" fillId="0" borderId="4" xfId="0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ary%20Sheet%20-%202024%20Final%20APPRISAL%202%20(1).xlsx" TargetMode="External"/><Relationship Id="rId1" Type="http://schemas.microsoft.com/office/2019/04/relationships/externalLinkLongPath" Target="Salary%20Sheet%20-%202024%20Final%20APPRISAL%20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-Sheet"/>
      <sheetName val="P.1"/>
      <sheetName val="Final Apprisal"/>
      <sheetName val="Sheet1"/>
      <sheetName val="Sheet3"/>
      <sheetName val="P.2"/>
      <sheetName val="P.3"/>
      <sheetName val="P.4"/>
      <sheetName val="P.5"/>
    </sheetNames>
    <sheetDataSet>
      <sheetData sheetId="0"/>
      <sheetData sheetId="1"/>
      <sheetData sheetId="2">
        <row r="2">
          <cell r="B2">
            <v>34</v>
          </cell>
          <cell r="C2" t="str">
            <v>Prabu A</v>
          </cell>
          <cell r="D2"/>
          <cell r="E2">
            <v>38019</v>
          </cell>
          <cell r="F2" t="str">
            <v>20Y 2M 2D</v>
          </cell>
          <cell r="G2">
            <v>3</v>
          </cell>
          <cell r="H2" t="str">
            <v>III</v>
          </cell>
          <cell r="I2">
            <v>1807908.8150534397</v>
          </cell>
          <cell r="J2">
            <v>150659.06792111997</v>
          </cell>
          <cell r="K2">
            <v>0.06</v>
          </cell>
          <cell r="L2">
            <v>108474.52890320637</v>
          </cell>
          <cell r="M2">
            <v>9039.5440752671984</v>
          </cell>
          <cell r="N2">
            <v>1916383.343956646</v>
          </cell>
          <cell r="O2">
            <v>159698.61199638716</v>
          </cell>
          <cell r="P2">
            <v>150000</v>
          </cell>
          <cell r="Q2"/>
          <cell r="R2">
            <v>2066383.343956646</v>
          </cell>
          <cell r="S2">
            <v>0.14296878623027573</v>
          </cell>
          <cell r="T2">
            <v>82177.67341151998</v>
          </cell>
          <cell r="U2">
            <v>0.51457975986277871</v>
          </cell>
        </row>
        <row r="3">
          <cell r="B3">
            <v>38</v>
          </cell>
          <cell r="C3" t="str">
            <v>Jeyanthi J</v>
          </cell>
          <cell r="D3"/>
          <cell r="E3">
            <v>39426</v>
          </cell>
          <cell r="F3" t="str">
            <v>16Y 3M 25D</v>
          </cell>
          <cell r="G3">
            <v>1.5</v>
          </cell>
          <cell r="H3" t="str">
            <v>III</v>
          </cell>
          <cell r="I3">
            <v>1605000</v>
          </cell>
          <cell r="J3">
            <v>133750</v>
          </cell>
          <cell r="K3">
            <v>0</v>
          </cell>
          <cell r="L3">
            <v>0</v>
          </cell>
          <cell r="M3">
            <v>0</v>
          </cell>
          <cell r="N3">
            <v>1605000</v>
          </cell>
          <cell r="O3">
            <v>133750</v>
          </cell>
          <cell r="P3"/>
          <cell r="Q3"/>
          <cell r="R3">
            <v>1605000</v>
          </cell>
          <cell r="S3">
            <v>0</v>
          </cell>
          <cell r="T3">
            <v>51266.375</v>
          </cell>
          <cell r="U3">
            <v>0.38329999999999997</v>
          </cell>
        </row>
        <row r="4">
          <cell r="B4">
            <v>42</v>
          </cell>
          <cell r="C4" t="str">
            <v>Anand R</v>
          </cell>
          <cell r="D4"/>
          <cell r="E4">
            <v>40665</v>
          </cell>
          <cell r="F4" t="str">
            <v>12Y 11M 2D</v>
          </cell>
          <cell r="G4">
            <v>0</v>
          </cell>
          <cell r="H4" t="str">
            <v>IV</v>
          </cell>
          <cell r="I4">
            <v>2500000</v>
          </cell>
          <cell r="J4">
            <v>208333.33333333334</v>
          </cell>
          <cell r="K4">
            <v>0.125</v>
          </cell>
          <cell r="L4">
            <v>312500</v>
          </cell>
          <cell r="M4">
            <v>26041.666666666668</v>
          </cell>
          <cell r="N4">
            <v>2812500</v>
          </cell>
          <cell r="O4">
            <v>234375</v>
          </cell>
          <cell r="P4">
            <v>300000</v>
          </cell>
          <cell r="Q4"/>
          <cell r="R4">
            <v>3112500</v>
          </cell>
          <cell r="S4">
            <v>0.245</v>
          </cell>
          <cell r="T4">
            <v>104166.66666666667</v>
          </cell>
          <cell r="U4">
            <v>0.44444444444444448</v>
          </cell>
        </row>
        <row r="5">
          <cell r="B5">
            <v>43</v>
          </cell>
          <cell r="C5" t="str">
            <v>Kumara Subramaniyan R</v>
          </cell>
          <cell r="D5"/>
          <cell r="E5">
            <v>40777</v>
          </cell>
          <cell r="F5" t="str">
            <v>12Y 7M 13D</v>
          </cell>
          <cell r="G5">
            <v>2</v>
          </cell>
          <cell r="H5" t="str">
            <v>IV</v>
          </cell>
          <cell r="I5">
            <v>2875000</v>
          </cell>
          <cell r="J5">
            <v>239583.33333333334</v>
          </cell>
          <cell r="K5">
            <v>0.125</v>
          </cell>
          <cell r="L5">
            <v>359375</v>
          </cell>
          <cell r="M5">
            <v>29947.916666666668</v>
          </cell>
          <cell r="N5">
            <v>3234375</v>
          </cell>
          <cell r="O5">
            <v>269531.25</v>
          </cell>
          <cell r="P5">
            <v>350000</v>
          </cell>
          <cell r="Q5"/>
          <cell r="R5">
            <v>3584375</v>
          </cell>
          <cell r="S5">
            <v>0.2467391304347826</v>
          </cell>
          <cell r="T5">
            <v>104166.66666666667</v>
          </cell>
          <cell r="U5">
            <v>0.38647342995169082</v>
          </cell>
        </row>
        <row r="6">
          <cell r="B6">
            <v>46</v>
          </cell>
          <cell r="C6" t="str">
            <v>Manikandan K</v>
          </cell>
          <cell r="D6"/>
          <cell r="E6">
            <v>39310</v>
          </cell>
          <cell r="F6" t="str">
            <v>16Y 7M 19D</v>
          </cell>
          <cell r="G6">
            <v>3</v>
          </cell>
          <cell r="H6" t="str">
            <v>IV</v>
          </cell>
          <cell r="I6">
            <v>3762001.1805160381</v>
          </cell>
          <cell r="J6">
            <v>313500.09837633651</v>
          </cell>
          <cell r="K6">
            <v>5.3199999999999997E-2</v>
          </cell>
          <cell r="L6">
            <v>200138.46280345321</v>
          </cell>
          <cell r="M6">
            <v>16678.205233621102</v>
          </cell>
          <cell r="N6">
            <v>3962139.6433194913</v>
          </cell>
          <cell r="O6">
            <v>330178.30360995763</v>
          </cell>
          <cell r="P6">
            <v>100000</v>
          </cell>
          <cell r="Q6"/>
          <cell r="R6">
            <v>4062139.6433194913</v>
          </cell>
          <cell r="S6">
            <v>7.9781597187665657E-2</v>
          </cell>
          <cell r="T6">
            <v>139333.37705614956</v>
          </cell>
          <cell r="U6">
            <v>0.42199434527577329</v>
          </cell>
        </row>
        <row r="7">
          <cell r="B7">
            <v>48</v>
          </cell>
          <cell r="C7" t="str">
            <v>Suriyanarayanan V</v>
          </cell>
          <cell r="D7"/>
          <cell r="E7">
            <v>41073</v>
          </cell>
          <cell r="F7" t="str">
            <v>11Y 9M 22D</v>
          </cell>
          <cell r="G7">
            <v>0</v>
          </cell>
          <cell r="H7" t="str">
            <v>II</v>
          </cell>
          <cell r="I7">
            <v>1037039.3</v>
          </cell>
          <cell r="J7">
            <v>86419.941666666666</v>
          </cell>
          <cell r="K7">
            <v>0.16</v>
          </cell>
          <cell r="L7">
            <v>165926.288</v>
          </cell>
          <cell r="M7">
            <v>13827.190666666667</v>
          </cell>
          <cell r="N7">
            <v>1202965.588</v>
          </cell>
          <cell r="O7">
            <v>100247.13233333333</v>
          </cell>
          <cell r="P7">
            <v>100000</v>
          </cell>
          <cell r="Q7"/>
          <cell r="R7">
            <v>1302965.588</v>
          </cell>
          <cell r="S7">
            <v>0.25642836100811217</v>
          </cell>
          <cell r="T7">
            <v>42555.267907366506</v>
          </cell>
          <cell r="U7">
            <v>0.42450359343811761</v>
          </cell>
        </row>
        <row r="8">
          <cell r="B8">
            <v>60</v>
          </cell>
          <cell r="C8" t="str">
            <v>Vijin CJ</v>
          </cell>
          <cell r="D8"/>
          <cell r="E8">
            <v>41276</v>
          </cell>
          <cell r="F8" t="str">
            <v>11Y 3M 2D</v>
          </cell>
          <cell r="G8">
            <v>5.6</v>
          </cell>
          <cell r="H8" t="str">
            <v>IV</v>
          </cell>
          <cell r="I8">
            <v>2179441.5159999998</v>
          </cell>
          <cell r="J8">
            <v>181620.12633333332</v>
          </cell>
          <cell r="K8">
            <v>0.15</v>
          </cell>
          <cell r="L8">
            <v>326916.22739999997</v>
          </cell>
          <cell r="M8">
            <v>27243.018949999998</v>
          </cell>
          <cell r="N8">
            <v>2506357.7434</v>
          </cell>
          <cell r="O8">
            <v>208863.14528333335</v>
          </cell>
          <cell r="P8">
            <v>200000</v>
          </cell>
          <cell r="Q8"/>
          <cell r="R8">
            <v>2706357.7434</v>
          </cell>
          <cell r="S8">
            <v>0.24176662852925127</v>
          </cell>
          <cell r="T8">
            <v>135098.82066949416</v>
          </cell>
          <cell r="U8">
            <v>0.64682938910177679</v>
          </cell>
        </row>
        <row r="9">
          <cell r="B9">
            <v>75</v>
          </cell>
          <cell r="C9" t="str">
            <v>Nirmal Antoni Raj.S</v>
          </cell>
          <cell r="D9"/>
          <cell r="E9">
            <v>41645</v>
          </cell>
          <cell r="F9" t="str">
            <v>10Y 2M 29D</v>
          </cell>
          <cell r="G9">
            <v>5.5</v>
          </cell>
          <cell r="H9" t="str">
            <v>III</v>
          </cell>
          <cell r="I9">
            <v>1725676.2</v>
          </cell>
          <cell r="J9">
            <v>143806.35</v>
          </cell>
          <cell r="K9">
            <v>0.1</v>
          </cell>
          <cell r="L9">
            <v>172567.62</v>
          </cell>
          <cell r="M9">
            <v>14380.635</v>
          </cell>
          <cell r="N9">
            <v>1898243.8199999998</v>
          </cell>
          <cell r="O9">
            <v>158186.98499999999</v>
          </cell>
          <cell r="P9">
            <v>200000</v>
          </cell>
          <cell r="Q9"/>
          <cell r="R9">
            <v>2098243.8199999998</v>
          </cell>
          <cell r="S9">
            <v>0.21589659751927961</v>
          </cell>
          <cell r="T9">
            <v>65129.715189000002</v>
          </cell>
          <cell r="U9">
            <v>0.41172613024390098</v>
          </cell>
        </row>
        <row r="10">
          <cell r="B10">
            <v>91</v>
          </cell>
          <cell r="C10" t="str">
            <v>Karthick Vetrivel</v>
          </cell>
          <cell r="D10"/>
          <cell r="E10">
            <v>42088</v>
          </cell>
          <cell r="F10" t="str">
            <v>9Y 0M 10D</v>
          </cell>
          <cell r="G10">
            <v>3</v>
          </cell>
          <cell r="H10" t="str">
            <v>IV</v>
          </cell>
          <cell r="I10">
            <v>2179950.48</v>
          </cell>
          <cell r="J10">
            <v>181662.54</v>
          </cell>
          <cell r="K10">
            <v>0.15</v>
          </cell>
          <cell r="L10">
            <v>326992.57199999999</v>
          </cell>
          <cell r="M10">
            <v>27249.380999999998</v>
          </cell>
          <cell r="N10">
            <v>2506943.0520000001</v>
          </cell>
          <cell r="O10">
            <v>208911.921</v>
          </cell>
          <cell r="P10">
            <v>200000</v>
          </cell>
          <cell r="Q10"/>
          <cell r="R10">
            <v>2706943.0520000001</v>
          </cell>
          <cell r="S10">
            <v>0.24174520331305882</v>
          </cell>
          <cell r="T10">
            <v>86851.875000000015</v>
          </cell>
          <cell r="U10">
            <v>0.41573441373888864</v>
          </cell>
        </row>
        <row r="11">
          <cell r="B11">
            <v>105</v>
          </cell>
          <cell r="C11" t="str">
            <v>Manikandan Kannan</v>
          </cell>
          <cell r="D11"/>
          <cell r="E11">
            <v>42436</v>
          </cell>
          <cell r="F11" t="str">
            <v>8Y 0M 28D</v>
          </cell>
          <cell r="G11">
            <v>3.9</v>
          </cell>
          <cell r="H11" t="str">
            <v>III</v>
          </cell>
          <cell r="I11">
            <v>1361448</v>
          </cell>
          <cell r="J11">
            <v>113454</v>
          </cell>
          <cell r="K11">
            <v>0.13900000000000001</v>
          </cell>
          <cell r="L11">
            <v>189241.27200000003</v>
          </cell>
          <cell r="M11">
            <v>15770.106000000002</v>
          </cell>
          <cell r="N11">
            <v>1550689.2720000001</v>
          </cell>
          <cell r="O11">
            <v>129224.10600000001</v>
          </cell>
          <cell r="P11">
            <v>100000</v>
          </cell>
          <cell r="Q11"/>
          <cell r="R11">
            <v>1650689.2720000001</v>
          </cell>
          <cell r="S11">
            <v>0.21245120783166166</v>
          </cell>
          <cell r="T11">
            <v>55466.400000000001</v>
          </cell>
          <cell r="U11">
            <v>0.42922641693493313</v>
          </cell>
        </row>
        <row r="12">
          <cell r="B12">
            <v>107</v>
          </cell>
          <cell r="C12" t="str">
            <v>Sathish .M</v>
          </cell>
          <cell r="D12"/>
          <cell r="E12">
            <v>42445</v>
          </cell>
          <cell r="F12" t="str">
            <v>8Y 0M 19D</v>
          </cell>
          <cell r="G12">
            <v>2.2999999999999998</v>
          </cell>
          <cell r="H12" t="str">
            <v>II</v>
          </cell>
          <cell r="I12">
            <v>1096941.25</v>
          </cell>
          <cell r="J12">
            <v>91411.770833333328</v>
          </cell>
          <cell r="K12">
            <v>0.15</v>
          </cell>
          <cell r="L12">
            <v>164541.1875</v>
          </cell>
          <cell r="M12">
            <v>13711.765625</v>
          </cell>
          <cell r="N12">
            <v>1261482.4375</v>
          </cell>
          <cell r="O12">
            <v>105123.53645833333</v>
          </cell>
          <cell r="P12">
            <v>100000</v>
          </cell>
          <cell r="Q12"/>
          <cell r="R12">
            <v>1361482.4375</v>
          </cell>
          <cell r="S12">
            <v>0.24116258505184301</v>
          </cell>
          <cell r="T12">
            <v>39578.764478642828</v>
          </cell>
          <cell r="U12">
            <v>0.37649765040324945</v>
          </cell>
        </row>
        <row r="13">
          <cell r="B13">
            <v>108</v>
          </cell>
          <cell r="C13" t="str">
            <v>Muraleedharan .MS</v>
          </cell>
          <cell r="D13"/>
          <cell r="E13">
            <v>42522</v>
          </cell>
          <cell r="F13" t="str">
            <v>7Y 10M 3D</v>
          </cell>
          <cell r="G13">
            <v>0</v>
          </cell>
          <cell r="H13" t="str">
            <v>II</v>
          </cell>
          <cell r="I13">
            <v>1001128.4010000001</v>
          </cell>
          <cell r="J13">
            <v>83427.366750000001</v>
          </cell>
          <cell r="K13">
            <v>0.125</v>
          </cell>
          <cell r="L13">
            <v>125141.05012500001</v>
          </cell>
          <cell r="M13">
            <v>10428.42084375</v>
          </cell>
          <cell r="N13">
            <v>1126269.4511250001</v>
          </cell>
          <cell r="O13">
            <v>93855.787593750007</v>
          </cell>
          <cell r="P13">
            <v>75000</v>
          </cell>
          <cell r="Q13"/>
          <cell r="R13">
            <v>1201269.4511250001</v>
          </cell>
          <cell r="S13">
            <v>0.19991546531402424</v>
          </cell>
          <cell r="T13">
            <v>41035.394400000005</v>
          </cell>
          <cell r="U13">
            <v>0.43721751691669369</v>
          </cell>
        </row>
        <row r="14">
          <cell r="B14">
            <v>112</v>
          </cell>
          <cell r="C14" t="str">
            <v>Muthulakshmi</v>
          </cell>
          <cell r="D14"/>
          <cell r="E14">
            <v>42614</v>
          </cell>
          <cell r="F14" t="str">
            <v>7Y 7M 3D</v>
          </cell>
          <cell r="G14">
            <v>0</v>
          </cell>
          <cell r="H14" t="str">
            <v>I</v>
          </cell>
          <cell r="I14">
            <v>642152.5</v>
          </cell>
          <cell r="J14">
            <v>53512.708333333336</v>
          </cell>
          <cell r="K14">
            <v>0.15</v>
          </cell>
          <cell r="L14">
            <v>96322.875</v>
          </cell>
          <cell r="M14">
            <v>8026.90625</v>
          </cell>
          <cell r="N14">
            <v>738475.375</v>
          </cell>
          <cell r="O14">
            <v>61539.614583333336</v>
          </cell>
          <cell r="P14">
            <v>60000</v>
          </cell>
          <cell r="Q14"/>
          <cell r="R14">
            <v>798475.375</v>
          </cell>
          <cell r="S14">
            <v>0.24343574929631201</v>
          </cell>
          <cell r="T14">
            <v>36485.923500000004</v>
          </cell>
          <cell r="U14">
            <v>0.59288514799833381</v>
          </cell>
        </row>
        <row r="15">
          <cell r="B15">
            <v>129</v>
          </cell>
          <cell r="C15" t="str">
            <v>Srinivasaragavan .R</v>
          </cell>
          <cell r="D15"/>
          <cell r="E15">
            <v>43206</v>
          </cell>
          <cell r="F15" t="str">
            <v>5Y 11M 19D</v>
          </cell>
          <cell r="G15">
            <v>14</v>
          </cell>
          <cell r="H15" t="str">
            <v>III</v>
          </cell>
          <cell r="I15">
            <v>1850808.96</v>
          </cell>
          <cell r="J15">
            <v>154234.07999999999</v>
          </cell>
          <cell r="K15">
            <v>0.1</v>
          </cell>
          <cell r="L15">
            <v>185080.89600000001</v>
          </cell>
          <cell r="M15">
            <v>15423.408000000001</v>
          </cell>
          <cell r="N15">
            <v>2035889.8559999999</v>
          </cell>
          <cell r="O15">
            <v>169657.48799999998</v>
          </cell>
          <cell r="P15">
            <v>50000</v>
          </cell>
          <cell r="Q15"/>
          <cell r="R15">
            <v>2085889.8559999999</v>
          </cell>
          <cell r="S15">
            <v>0.12701521393110177</v>
          </cell>
          <cell r="T15">
            <v>59399.999999999993</v>
          </cell>
          <cell r="U15">
            <v>0.35011717254707908</v>
          </cell>
        </row>
        <row r="16">
          <cell r="B16">
            <v>133</v>
          </cell>
          <cell r="C16" t="str">
            <v>Jafar Khan</v>
          </cell>
          <cell r="D16"/>
          <cell r="E16">
            <v>43271</v>
          </cell>
          <cell r="F16" t="str">
            <v>5Y 9M 15D</v>
          </cell>
          <cell r="G16">
            <v>7</v>
          </cell>
          <cell r="H16" t="str">
            <v>IV</v>
          </cell>
          <cell r="I16">
            <v>2503706.4</v>
          </cell>
          <cell r="J16">
            <v>208642.19999999998</v>
          </cell>
          <cell r="K16">
            <v>0.15</v>
          </cell>
          <cell r="L16">
            <v>375555.95999999996</v>
          </cell>
          <cell r="M16">
            <v>31296.329999999998</v>
          </cell>
          <cell r="N16">
            <v>2879262.36</v>
          </cell>
          <cell r="O16">
            <v>239938.53</v>
          </cell>
          <cell r="P16">
            <v>300000</v>
          </cell>
          <cell r="Q16"/>
          <cell r="R16">
            <v>3179262.36</v>
          </cell>
          <cell r="S16">
            <v>0.26982235616764011</v>
          </cell>
          <cell r="T16">
            <v>98670</v>
          </cell>
          <cell r="U16">
            <v>0.41123032636734086</v>
          </cell>
        </row>
        <row r="17">
          <cell r="B17">
            <v>137</v>
          </cell>
          <cell r="C17" t="str">
            <v>Suresh Gopalachary</v>
          </cell>
          <cell r="D17"/>
          <cell r="E17">
            <v>43468</v>
          </cell>
          <cell r="F17" t="str">
            <v>5Y 3M 1D</v>
          </cell>
          <cell r="G17">
            <v>20</v>
          </cell>
          <cell r="H17" t="str">
            <v>III</v>
          </cell>
          <cell r="I17">
            <v>1980000</v>
          </cell>
          <cell r="J17">
            <v>165000</v>
          </cell>
          <cell r="K17">
            <v>0.1</v>
          </cell>
          <cell r="L17">
            <v>198000</v>
          </cell>
          <cell r="M17">
            <v>16500</v>
          </cell>
          <cell r="N17">
            <v>2178000</v>
          </cell>
          <cell r="O17">
            <v>181500</v>
          </cell>
          <cell r="P17">
            <v>100000</v>
          </cell>
          <cell r="Q17"/>
          <cell r="R17">
            <v>2278000</v>
          </cell>
          <cell r="S17">
            <v>0.1505050505050505</v>
          </cell>
          <cell r="T17">
            <v>90000</v>
          </cell>
          <cell r="U17">
            <v>0.49586776859504134</v>
          </cell>
        </row>
        <row r="18">
          <cell r="B18">
            <v>140</v>
          </cell>
          <cell r="C18" t="str">
            <v>Venkatesan .N</v>
          </cell>
          <cell r="D18"/>
          <cell r="E18">
            <v>43497</v>
          </cell>
          <cell r="F18" t="str">
            <v>5Y 2M 3D</v>
          </cell>
          <cell r="G18">
            <v>2.4</v>
          </cell>
          <cell r="H18" t="str">
            <v>I</v>
          </cell>
          <cell r="I18">
            <v>746460</v>
          </cell>
          <cell r="J18">
            <v>62205</v>
          </cell>
          <cell r="K18">
            <v>0.2</v>
          </cell>
          <cell r="L18">
            <v>149292</v>
          </cell>
          <cell r="M18">
            <v>12441</v>
          </cell>
          <cell r="N18">
            <v>895752</v>
          </cell>
          <cell r="O18">
            <v>74646</v>
          </cell>
          <cell r="P18">
            <v>205000</v>
          </cell>
          <cell r="Q18"/>
          <cell r="R18">
            <v>1100752</v>
          </cell>
          <cell r="S18">
            <v>0.47462958497441254</v>
          </cell>
          <cell r="T18">
            <v>39150</v>
          </cell>
          <cell r="U18">
            <v>0.52447552447552448</v>
          </cell>
        </row>
        <row r="19">
          <cell r="B19">
            <v>141</v>
          </cell>
          <cell r="C19" t="str">
            <v>Ragu .P</v>
          </cell>
          <cell r="D19"/>
          <cell r="E19">
            <v>43507</v>
          </cell>
          <cell r="F19" t="str">
            <v>5Y 1M 24D</v>
          </cell>
          <cell r="G19">
            <v>2</v>
          </cell>
          <cell r="H19" t="str">
            <v>I</v>
          </cell>
          <cell r="I19">
            <v>852000</v>
          </cell>
          <cell r="J19">
            <v>71000</v>
          </cell>
          <cell r="K19">
            <v>0.2</v>
          </cell>
          <cell r="L19">
            <v>170400</v>
          </cell>
          <cell r="M19">
            <v>14200</v>
          </cell>
          <cell r="N19">
            <v>1022400</v>
          </cell>
          <cell r="O19">
            <v>85200</v>
          </cell>
          <cell r="P19">
            <v>180000</v>
          </cell>
          <cell r="Q19"/>
          <cell r="R19">
            <v>1202400</v>
          </cell>
          <cell r="S19">
            <v>0.41126760563380282</v>
          </cell>
          <cell r="T19">
            <v>36000.000000000007</v>
          </cell>
          <cell r="U19">
            <v>0.42253521126760574</v>
          </cell>
        </row>
        <row r="20">
          <cell r="B20">
            <v>142</v>
          </cell>
          <cell r="C20" t="str">
            <v>Jayakumar Thavamani</v>
          </cell>
          <cell r="D20"/>
          <cell r="E20">
            <v>43525</v>
          </cell>
          <cell r="F20" t="str">
            <v>5Y 1M 3D</v>
          </cell>
          <cell r="G20">
            <v>5</v>
          </cell>
          <cell r="H20" t="str">
            <v>II</v>
          </cell>
          <cell r="I20">
            <v>1235081.8999999999</v>
          </cell>
          <cell r="J20">
            <v>102923.49166666665</v>
          </cell>
          <cell r="K20">
            <v>0.2</v>
          </cell>
          <cell r="L20">
            <v>247016.38</v>
          </cell>
          <cell r="M20">
            <v>20584.698333333334</v>
          </cell>
          <cell r="N20">
            <v>1482098.2799999998</v>
          </cell>
          <cell r="O20">
            <v>123508.18999999999</v>
          </cell>
          <cell r="P20">
            <v>175000</v>
          </cell>
          <cell r="Q20"/>
          <cell r="R20">
            <v>1657098.2799999998</v>
          </cell>
          <cell r="S20">
            <v>0.34169100850720907</v>
          </cell>
          <cell r="T20">
            <v>43544.554166666669</v>
          </cell>
          <cell r="U20">
            <v>0.35256410256410259</v>
          </cell>
        </row>
        <row r="21">
          <cell r="B21">
            <v>149</v>
          </cell>
          <cell r="C21" t="str">
            <v>Rajesh Kumar</v>
          </cell>
          <cell r="D21"/>
          <cell r="E21">
            <v>43762</v>
          </cell>
          <cell r="F21" t="str">
            <v>4Y 5M 11D</v>
          </cell>
          <cell r="G21">
            <v>3.4</v>
          </cell>
          <cell r="H21" t="str">
            <v>II</v>
          </cell>
          <cell r="I21">
            <v>945000</v>
          </cell>
          <cell r="J21">
            <v>78750</v>
          </cell>
          <cell r="K21">
            <v>0.2</v>
          </cell>
          <cell r="L21">
            <v>189000</v>
          </cell>
          <cell r="M21">
            <v>15750</v>
          </cell>
          <cell r="N21">
            <v>1134000</v>
          </cell>
          <cell r="O21">
            <v>94500</v>
          </cell>
          <cell r="P21">
            <v>150000</v>
          </cell>
          <cell r="Q21"/>
          <cell r="R21">
            <v>1284000</v>
          </cell>
          <cell r="S21">
            <v>0.35873015873015873</v>
          </cell>
          <cell r="T21">
            <v>34125</v>
          </cell>
          <cell r="U21">
            <v>0.3611111111111111</v>
          </cell>
        </row>
        <row r="22">
          <cell r="B22">
            <v>153</v>
          </cell>
          <cell r="C22" t="str">
            <v>Rishi kumar</v>
          </cell>
          <cell r="D22"/>
          <cell r="E22">
            <v>43922</v>
          </cell>
          <cell r="F22" t="str">
            <v>4Y 0M 3D</v>
          </cell>
          <cell r="G22">
            <v>0</v>
          </cell>
          <cell r="H22" t="str">
            <v>I</v>
          </cell>
          <cell r="I22">
            <v>810000</v>
          </cell>
          <cell r="J22">
            <v>67500</v>
          </cell>
          <cell r="K22">
            <v>0.25</v>
          </cell>
          <cell r="L22">
            <v>202500</v>
          </cell>
          <cell r="M22">
            <v>16875</v>
          </cell>
          <cell r="N22">
            <v>1012500</v>
          </cell>
          <cell r="O22">
            <v>84375</v>
          </cell>
          <cell r="P22">
            <v>202500</v>
          </cell>
          <cell r="Q22"/>
          <cell r="R22">
            <v>1215000</v>
          </cell>
          <cell r="S22">
            <v>0.5</v>
          </cell>
          <cell r="T22">
            <v>28125</v>
          </cell>
          <cell r="U22">
            <v>0.33333333333333331</v>
          </cell>
        </row>
        <row r="23">
          <cell r="B23">
            <v>154</v>
          </cell>
          <cell r="C23" t="str">
            <v>Guruprasad</v>
          </cell>
          <cell r="D23"/>
          <cell r="E23">
            <v>43922</v>
          </cell>
          <cell r="F23" t="str">
            <v>4Y 0M 3D</v>
          </cell>
          <cell r="G23">
            <v>0</v>
          </cell>
          <cell r="H23" t="str">
            <v>I</v>
          </cell>
          <cell r="I23">
            <v>910875</v>
          </cell>
          <cell r="J23">
            <v>75906.25</v>
          </cell>
          <cell r="K23">
            <v>0.25</v>
          </cell>
          <cell r="L23">
            <v>227718.75</v>
          </cell>
          <cell r="M23">
            <v>18976.5625</v>
          </cell>
          <cell r="N23">
            <v>1138593.75</v>
          </cell>
          <cell r="O23">
            <v>94882.8125</v>
          </cell>
          <cell r="P23">
            <v>200000</v>
          </cell>
          <cell r="Q23"/>
          <cell r="R23">
            <v>1338593.75</v>
          </cell>
          <cell r="S23">
            <v>0.46956909564978727</v>
          </cell>
          <cell r="T23">
            <v>28125</v>
          </cell>
          <cell r="U23">
            <v>0.29641827912721286</v>
          </cell>
        </row>
        <row r="24">
          <cell r="B24">
            <v>162</v>
          </cell>
          <cell r="C24" t="str">
            <v>Sridharan Renganathan</v>
          </cell>
          <cell r="D24" t="str">
            <v>VUMBER</v>
          </cell>
          <cell r="E24">
            <v>44013</v>
          </cell>
          <cell r="F24" t="str">
            <v>3Y 9M 3D</v>
          </cell>
          <cell r="G24">
            <v>0</v>
          </cell>
          <cell r="H24" t="str">
            <v>I</v>
          </cell>
          <cell r="I24">
            <v>631120</v>
          </cell>
          <cell r="J24">
            <v>52593.333333333336</v>
          </cell>
          <cell r="K24">
            <v>0.2</v>
          </cell>
          <cell r="L24">
            <v>126224</v>
          </cell>
          <cell r="M24">
            <v>10518.666666666666</v>
          </cell>
          <cell r="N24">
            <v>757344</v>
          </cell>
          <cell r="O24">
            <v>63112</v>
          </cell>
          <cell r="P24">
            <v>100000</v>
          </cell>
          <cell r="Q24"/>
          <cell r="R24">
            <v>857344</v>
          </cell>
          <cell r="S24">
            <v>0.35844847255672457</v>
          </cell>
          <cell r="T24">
            <v>33810.000000000007</v>
          </cell>
          <cell r="U24">
            <v>0.53571428571428581</v>
          </cell>
        </row>
        <row r="25">
          <cell r="B25">
            <v>166</v>
          </cell>
          <cell r="C25" t="str">
            <v>Yazhini Gurubaran</v>
          </cell>
          <cell r="D25"/>
          <cell r="E25">
            <v>44137</v>
          </cell>
          <cell r="F25" t="str">
            <v>3Y 5M 2D</v>
          </cell>
          <cell r="G25">
            <v>0</v>
          </cell>
          <cell r="H25" t="str">
            <v>I</v>
          </cell>
          <cell r="I25">
            <v>540000</v>
          </cell>
          <cell r="J25">
            <v>45000</v>
          </cell>
          <cell r="K25">
            <v>0.4</v>
          </cell>
          <cell r="L25">
            <v>216000</v>
          </cell>
          <cell r="M25">
            <v>18000</v>
          </cell>
          <cell r="N25">
            <v>756000</v>
          </cell>
          <cell r="O25">
            <v>63000</v>
          </cell>
          <cell r="P25">
            <v>75000</v>
          </cell>
          <cell r="Q25"/>
          <cell r="R25">
            <v>831000</v>
          </cell>
          <cell r="S25">
            <v>0.53888888888888886</v>
          </cell>
          <cell r="T25">
            <v>20625</v>
          </cell>
          <cell r="U25">
            <v>0.32738095238095238</v>
          </cell>
        </row>
        <row r="26">
          <cell r="B26">
            <v>171</v>
          </cell>
          <cell r="C26" t="str">
            <v>Satish Kumar Rangaswamy</v>
          </cell>
          <cell r="D26"/>
          <cell r="E26">
            <v>44235</v>
          </cell>
          <cell r="F26" t="str">
            <v>3Y 1M 27D</v>
          </cell>
          <cell r="G26">
            <v>20</v>
          </cell>
          <cell r="H26" t="str">
            <v>I</v>
          </cell>
          <cell r="I26">
            <v>495000</v>
          </cell>
          <cell r="J26">
            <v>41250</v>
          </cell>
          <cell r="K26">
            <v>0.125</v>
          </cell>
          <cell r="L26">
            <v>61875</v>
          </cell>
          <cell r="M26">
            <v>5156.25</v>
          </cell>
          <cell r="N26">
            <v>556875</v>
          </cell>
          <cell r="O26">
            <v>46406.25</v>
          </cell>
          <cell r="P26">
            <v>0</v>
          </cell>
          <cell r="Q26"/>
          <cell r="R26">
            <v>556875</v>
          </cell>
          <cell r="S26">
            <v>0.125</v>
          </cell>
          <cell r="T26">
            <v>33750</v>
          </cell>
          <cell r="U26">
            <v>0.72727272727272729</v>
          </cell>
        </row>
        <row r="27">
          <cell r="B27">
            <v>175</v>
          </cell>
          <cell r="C27" t="str">
            <v>Rakesh K</v>
          </cell>
          <cell r="D27" t="str">
            <v>PALTALK</v>
          </cell>
          <cell r="E27">
            <v>44341</v>
          </cell>
          <cell r="F27" t="str">
            <v>2Y 10M 10D</v>
          </cell>
          <cell r="G27">
            <v>0</v>
          </cell>
          <cell r="H27" t="str">
            <v>I</v>
          </cell>
          <cell r="I27">
            <v>630000</v>
          </cell>
          <cell r="J27">
            <v>52500</v>
          </cell>
          <cell r="K27">
            <v>0.3</v>
          </cell>
          <cell r="L27">
            <v>189000</v>
          </cell>
          <cell r="M27">
            <v>15750</v>
          </cell>
          <cell r="N27">
            <v>819000</v>
          </cell>
          <cell r="O27">
            <v>68250</v>
          </cell>
          <cell r="P27">
            <v>150000</v>
          </cell>
          <cell r="Q27"/>
          <cell r="R27">
            <v>969000</v>
          </cell>
          <cell r="S27">
            <v>0.53809523809523807</v>
          </cell>
          <cell r="T27">
            <v>33750</v>
          </cell>
          <cell r="U27">
            <v>0.49450549450549453</v>
          </cell>
        </row>
        <row r="28">
          <cell r="B28">
            <v>177</v>
          </cell>
          <cell r="C28" t="str">
            <v>Govindha Raj R</v>
          </cell>
          <cell r="D28"/>
          <cell r="E28">
            <v>44348</v>
          </cell>
          <cell r="F28" t="str">
            <v>2Y 10M 3D</v>
          </cell>
          <cell r="G28">
            <v>0</v>
          </cell>
          <cell r="H28" t="str">
            <v>I</v>
          </cell>
          <cell r="I28">
            <v>455000</v>
          </cell>
          <cell r="J28">
            <v>37916.666666666664</v>
          </cell>
          <cell r="K28">
            <v>0.32</v>
          </cell>
          <cell r="L28">
            <v>145600</v>
          </cell>
          <cell r="M28">
            <v>12133.333333333334</v>
          </cell>
          <cell r="N28">
            <v>600600</v>
          </cell>
          <cell r="O28">
            <v>50050</v>
          </cell>
          <cell r="P28"/>
          <cell r="Q28">
            <v>60000</v>
          </cell>
          <cell r="R28">
            <v>660600</v>
          </cell>
          <cell r="S28">
            <v>0.45186813186813185</v>
          </cell>
          <cell r="T28">
            <v>26249.999999999996</v>
          </cell>
          <cell r="U28">
            <v>0.52447552447552437</v>
          </cell>
        </row>
        <row r="29">
          <cell r="B29">
            <v>178</v>
          </cell>
          <cell r="C29" t="str">
            <v>Krishnamurthy V</v>
          </cell>
          <cell r="D29"/>
          <cell r="E29">
            <v>44362</v>
          </cell>
          <cell r="F29" t="str">
            <v>2Y 9M 20D</v>
          </cell>
          <cell r="G29">
            <v>0</v>
          </cell>
          <cell r="H29" t="str">
            <v>I</v>
          </cell>
          <cell r="I29">
            <v>517500</v>
          </cell>
          <cell r="J29">
            <v>43125</v>
          </cell>
          <cell r="K29">
            <v>0.45</v>
          </cell>
          <cell r="L29">
            <v>232875</v>
          </cell>
          <cell r="M29">
            <v>19406.25</v>
          </cell>
          <cell r="N29">
            <v>750375</v>
          </cell>
          <cell r="O29">
            <v>62531.25</v>
          </cell>
          <cell r="P29">
            <v>100000</v>
          </cell>
          <cell r="Q29"/>
          <cell r="R29">
            <v>850375</v>
          </cell>
          <cell r="S29">
            <v>0.64323671497584545</v>
          </cell>
          <cell r="T29">
            <v>33750</v>
          </cell>
          <cell r="U29">
            <v>0.53973013493253374</v>
          </cell>
        </row>
        <row r="30">
          <cell r="B30">
            <v>189</v>
          </cell>
          <cell r="C30" t="str">
            <v>Reynold Bengun</v>
          </cell>
          <cell r="D30" t="str">
            <v>XYBION</v>
          </cell>
          <cell r="E30">
            <v>44553</v>
          </cell>
          <cell r="F30" t="str">
            <v>2Y 3M 12D</v>
          </cell>
          <cell r="G30">
            <v>2.2000000000000002</v>
          </cell>
          <cell r="H30" t="str">
            <v>I</v>
          </cell>
          <cell r="I30">
            <v>1020000</v>
          </cell>
          <cell r="J30">
            <v>85000</v>
          </cell>
          <cell r="K30">
            <v>0.2</v>
          </cell>
          <cell r="L30">
            <v>204000</v>
          </cell>
          <cell r="M30">
            <v>17000</v>
          </cell>
          <cell r="N30">
            <v>1224000</v>
          </cell>
          <cell r="O30">
            <v>102000</v>
          </cell>
          <cell r="P30">
            <v>200000</v>
          </cell>
          <cell r="Q30"/>
          <cell r="R30">
            <v>1424000</v>
          </cell>
          <cell r="S30">
            <v>0.396078431372549</v>
          </cell>
          <cell r="T30">
            <v>45000</v>
          </cell>
          <cell r="U30">
            <v>0.44117647058823528</v>
          </cell>
        </row>
        <row r="31">
          <cell r="B31">
            <v>190</v>
          </cell>
          <cell r="C31" t="str">
            <v>Arjun P</v>
          </cell>
          <cell r="D31" t="str">
            <v>VUMBER</v>
          </cell>
          <cell r="E31">
            <v>44554</v>
          </cell>
          <cell r="F31" t="str">
            <v>2Y 3M 11D</v>
          </cell>
          <cell r="G31">
            <v>0.75</v>
          </cell>
          <cell r="H31" t="str">
            <v>I</v>
          </cell>
          <cell r="I31">
            <v>315000</v>
          </cell>
          <cell r="J31">
            <v>26250</v>
          </cell>
          <cell r="K31">
            <v>0.2</v>
          </cell>
          <cell r="L31">
            <v>63000</v>
          </cell>
          <cell r="M31">
            <v>5250</v>
          </cell>
          <cell r="N31">
            <v>378000</v>
          </cell>
          <cell r="O31">
            <v>31500</v>
          </cell>
          <cell r="P31">
            <v>50000</v>
          </cell>
          <cell r="Q31"/>
          <cell r="R31">
            <v>428000</v>
          </cell>
          <cell r="S31">
            <v>0.35873015873015873</v>
          </cell>
          <cell r="T31">
            <v>18000</v>
          </cell>
          <cell r="U31">
            <v>0.5714285714285714</v>
          </cell>
        </row>
        <row r="32">
          <cell r="B32">
            <v>191</v>
          </cell>
          <cell r="C32" t="str">
            <v>Manoj M</v>
          </cell>
          <cell r="D32" t="str">
            <v>KAG</v>
          </cell>
          <cell r="E32">
            <v>44564</v>
          </cell>
          <cell r="F32" t="str">
            <v>2Y 3M 1D</v>
          </cell>
          <cell r="G32">
            <v>2.8</v>
          </cell>
          <cell r="H32" t="str">
            <v>I</v>
          </cell>
          <cell r="I32">
            <v>414000</v>
          </cell>
          <cell r="J32">
            <v>34500</v>
          </cell>
          <cell r="K32">
            <v>0.2</v>
          </cell>
          <cell r="L32">
            <v>82800</v>
          </cell>
          <cell r="M32">
            <v>6900</v>
          </cell>
          <cell r="N32">
            <v>496800</v>
          </cell>
          <cell r="O32">
            <v>41400</v>
          </cell>
          <cell r="P32">
            <v>80000</v>
          </cell>
          <cell r="Q32"/>
          <cell r="R32">
            <v>576800</v>
          </cell>
          <cell r="S32">
            <v>0.39323671497584539</v>
          </cell>
          <cell r="T32">
            <v>27000</v>
          </cell>
          <cell r="U32">
            <v>0.65217391304347827</v>
          </cell>
        </row>
        <row r="33">
          <cell r="B33">
            <v>192</v>
          </cell>
          <cell r="C33" t="str">
            <v>Rahul V</v>
          </cell>
          <cell r="D33" t="str">
            <v>REIMBURSIFY</v>
          </cell>
          <cell r="E33">
            <v>44564</v>
          </cell>
          <cell r="F33" t="str">
            <v>2Y 3M 1D</v>
          </cell>
          <cell r="G33">
            <v>3.5</v>
          </cell>
          <cell r="H33" t="str">
            <v>I</v>
          </cell>
          <cell r="I33">
            <v>315000</v>
          </cell>
          <cell r="J33">
            <v>26250</v>
          </cell>
          <cell r="K33">
            <v>0.2</v>
          </cell>
          <cell r="L33">
            <v>63000</v>
          </cell>
          <cell r="M33">
            <v>5250</v>
          </cell>
          <cell r="N33">
            <v>378000</v>
          </cell>
          <cell r="O33">
            <v>31500</v>
          </cell>
          <cell r="P33">
            <v>60000</v>
          </cell>
          <cell r="Q33"/>
          <cell r="R33">
            <v>438000</v>
          </cell>
          <cell r="S33">
            <v>0.39047619047619048</v>
          </cell>
          <cell r="T33">
            <v>18000</v>
          </cell>
          <cell r="U33">
            <v>0.5714285714285714</v>
          </cell>
        </row>
        <row r="34">
          <cell r="B34">
            <v>208</v>
          </cell>
          <cell r="C34" t="str">
            <v>Gnanageetha</v>
          </cell>
          <cell r="D34"/>
          <cell r="E34">
            <v>44692</v>
          </cell>
          <cell r="F34" t="str">
            <v>1Y 10M 24D</v>
          </cell>
          <cell r="G34">
            <v>5</v>
          </cell>
          <cell r="H34" t="str">
            <v>I</v>
          </cell>
          <cell r="I34">
            <v>256300</v>
          </cell>
          <cell r="J34">
            <v>21358.333333333332</v>
          </cell>
          <cell r="K34">
            <v>0.125</v>
          </cell>
          <cell r="L34">
            <v>32037.5</v>
          </cell>
          <cell r="M34">
            <v>2669.7916666666665</v>
          </cell>
          <cell r="N34">
            <v>288337.5</v>
          </cell>
          <cell r="O34">
            <v>24028.125</v>
          </cell>
          <cell r="P34">
            <v>25000</v>
          </cell>
          <cell r="Q34"/>
          <cell r="R34">
            <v>313337.5</v>
          </cell>
          <cell r="S34">
            <v>0.22254194303550526</v>
          </cell>
          <cell r="T34">
            <v>17475</v>
          </cell>
          <cell r="U34">
            <v>0.72727272727272729</v>
          </cell>
        </row>
        <row r="35">
          <cell r="B35">
            <v>211</v>
          </cell>
          <cell r="C35" t="str">
            <v>Mohamed Yahiya S</v>
          </cell>
          <cell r="D35"/>
          <cell r="E35">
            <v>44739</v>
          </cell>
          <cell r="F35" t="str">
            <v>1Y 9M 8D</v>
          </cell>
          <cell r="G35">
            <v>0</v>
          </cell>
          <cell r="H35" t="str">
            <v>I</v>
          </cell>
          <cell r="I35">
            <v>277200</v>
          </cell>
          <cell r="J35">
            <v>23100</v>
          </cell>
          <cell r="K35">
            <v>0.27</v>
          </cell>
          <cell r="L35">
            <v>74844</v>
          </cell>
          <cell r="M35">
            <v>6237</v>
          </cell>
          <cell r="N35">
            <v>352044</v>
          </cell>
          <cell r="O35">
            <v>29337</v>
          </cell>
          <cell r="P35">
            <v>25000</v>
          </cell>
          <cell r="Q35"/>
          <cell r="R35">
            <v>377044</v>
          </cell>
          <cell r="S35">
            <v>0.36018759018759017</v>
          </cell>
          <cell r="T35">
            <v>18900</v>
          </cell>
          <cell r="U35">
            <v>0.64423765211166784</v>
          </cell>
        </row>
        <row r="36">
          <cell r="B36">
            <v>212</v>
          </cell>
          <cell r="C36" t="str">
            <v>Kanniappan K</v>
          </cell>
          <cell r="D36"/>
          <cell r="E36">
            <v>44740</v>
          </cell>
          <cell r="F36" t="str">
            <v>1Y 9M 7D</v>
          </cell>
          <cell r="G36">
            <v>1.3</v>
          </cell>
          <cell r="H36" t="str">
            <v>I</v>
          </cell>
          <cell r="I36">
            <v>517500</v>
          </cell>
          <cell r="J36">
            <v>43125</v>
          </cell>
          <cell r="K36">
            <v>0.16500000000000001</v>
          </cell>
          <cell r="L36">
            <v>85387.5</v>
          </cell>
          <cell r="M36">
            <v>7115.625</v>
          </cell>
          <cell r="N36">
            <v>602887.5</v>
          </cell>
          <cell r="O36">
            <v>50240.625</v>
          </cell>
          <cell r="P36">
            <v>50000</v>
          </cell>
          <cell r="Q36"/>
          <cell r="R36">
            <v>652887.5</v>
          </cell>
          <cell r="S36">
            <v>0.26161835748792273</v>
          </cell>
          <cell r="T36">
            <v>33750</v>
          </cell>
          <cell r="U36">
            <v>0.67176712073147971</v>
          </cell>
        </row>
        <row r="37">
          <cell r="B37">
            <v>213</v>
          </cell>
          <cell r="C37" t="str">
            <v>M Shankar</v>
          </cell>
          <cell r="D37"/>
          <cell r="E37">
            <v>44746</v>
          </cell>
          <cell r="F37" t="str">
            <v>1Y 9M 3D</v>
          </cell>
          <cell r="G37">
            <v>19</v>
          </cell>
          <cell r="H37" t="str">
            <v>I</v>
          </cell>
          <cell r="I37">
            <v>392340</v>
          </cell>
          <cell r="J37">
            <v>32695</v>
          </cell>
          <cell r="K37">
            <v>0.2</v>
          </cell>
          <cell r="L37">
            <v>78468</v>
          </cell>
          <cell r="M37">
            <v>6539</v>
          </cell>
          <cell r="N37">
            <v>470808</v>
          </cell>
          <cell r="O37">
            <v>39234</v>
          </cell>
          <cell r="P37">
            <v>60000</v>
          </cell>
          <cell r="Q37"/>
          <cell r="R37">
            <v>530808</v>
          </cell>
          <cell r="S37">
            <v>0.35292858235204161</v>
          </cell>
          <cell r="T37">
            <v>22635</v>
          </cell>
          <cell r="U37">
            <v>0.57692307692307687</v>
          </cell>
        </row>
        <row r="38">
          <cell r="B38">
            <v>217</v>
          </cell>
          <cell r="C38" t="str">
            <v>Jeeva B S</v>
          </cell>
          <cell r="D38"/>
          <cell r="E38">
            <v>44935</v>
          </cell>
          <cell r="F38" t="str">
            <v>1Y 2M 26D</v>
          </cell>
          <cell r="G38">
            <v>0</v>
          </cell>
          <cell r="H38" t="str">
            <v>I</v>
          </cell>
          <cell r="I38">
            <v>500000</v>
          </cell>
          <cell r="J38">
            <v>41666.666666666664</v>
          </cell>
          <cell r="K38">
            <v>0.25</v>
          </cell>
          <cell r="L38">
            <v>125000</v>
          </cell>
          <cell r="M38">
            <v>10416.666666666666</v>
          </cell>
          <cell r="N38">
            <v>625000</v>
          </cell>
          <cell r="O38">
            <v>52083.333333333336</v>
          </cell>
          <cell r="P38">
            <v>50000</v>
          </cell>
          <cell r="Q38"/>
          <cell r="R38">
            <v>675000</v>
          </cell>
          <cell r="S38">
            <v>0.35</v>
          </cell>
          <cell r="T38">
            <v>37500</v>
          </cell>
          <cell r="U38">
            <v>0.72</v>
          </cell>
        </row>
        <row r="39">
          <cell r="B39">
            <v>218</v>
          </cell>
          <cell r="C39" t="str">
            <v>Muhammed Ameen</v>
          </cell>
          <cell r="D39"/>
          <cell r="E39">
            <v>44944</v>
          </cell>
          <cell r="F39" t="str">
            <v>1Y 2M 17D</v>
          </cell>
          <cell r="G39">
            <v>0</v>
          </cell>
          <cell r="H39" t="str">
            <v>I</v>
          </cell>
          <cell r="I39">
            <v>500000</v>
          </cell>
          <cell r="J39">
            <v>41666.666666666664</v>
          </cell>
          <cell r="K39">
            <v>0.2</v>
          </cell>
          <cell r="L39">
            <v>100000</v>
          </cell>
          <cell r="M39">
            <v>8333.3333333333339</v>
          </cell>
          <cell r="N39">
            <v>600000</v>
          </cell>
          <cell r="O39">
            <v>50000</v>
          </cell>
          <cell r="P39">
            <v>50000</v>
          </cell>
          <cell r="Q39"/>
          <cell r="R39">
            <v>650000</v>
          </cell>
          <cell r="S39">
            <v>0.3</v>
          </cell>
          <cell r="T39">
            <v>37500</v>
          </cell>
          <cell r="U39">
            <v>0.75</v>
          </cell>
        </row>
        <row r="40">
          <cell r="B40">
            <v>220</v>
          </cell>
          <cell r="C40" t="str">
            <v>Senthamil Selvan D</v>
          </cell>
          <cell r="D40"/>
          <cell r="E40">
            <v>44949</v>
          </cell>
          <cell r="F40" t="str">
            <v>1Y 2M 12D</v>
          </cell>
          <cell r="G40">
            <v>7.8</v>
          </cell>
          <cell r="H40" t="str">
            <v>I</v>
          </cell>
          <cell r="I40">
            <v>650000</v>
          </cell>
          <cell r="J40">
            <v>54166.666666666664</v>
          </cell>
          <cell r="K40">
            <v>0.16</v>
          </cell>
          <cell r="L40">
            <v>104000</v>
          </cell>
          <cell r="M40">
            <v>8666.6666666666661</v>
          </cell>
          <cell r="N40">
            <v>754000</v>
          </cell>
          <cell r="O40">
            <v>62833.333333333336</v>
          </cell>
          <cell r="P40">
            <v>50000</v>
          </cell>
          <cell r="Q40"/>
          <cell r="R40">
            <v>804000</v>
          </cell>
          <cell r="S40">
            <v>0.23692307692307693</v>
          </cell>
          <cell r="T40">
            <v>48750</v>
          </cell>
          <cell r="U40">
            <v>0.77586206896551724</v>
          </cell>
        </row>
        <row r="41">
          <cell r="B41">
            <v>222</v>
          </cell>
          <cell r="C41" t="str">
            <v>Bharat Gurung</v>
          </cell>
          <cell r="D41"/>
          <cell r="E41">
            <v>44987</v>
          </cell>
          <cell r="F41" t="str">
            <v>1Y 1M 22D</v>
          </cell>
          <cell r="G41"/>
          <cell r="H41" t="str">
            <v>I</v>
          </cell>
          <cell r="I41">
            <v>208000</v>
          </cell>
          <cell r="J41">
            <v>17333.333333333332</v>
          </cell>
          <cell r="K41">
            <v>0.06</v>
          </cell>
          <cell r="L41">
            <v>12480</v>
          </cell>
          <cell r="M41">
            <v>1040</v>
          </cell>
          <cell r="N41">
            <v>220480</v>
          </cell>
          <cell r="O41">
            <v>18373.333333333332</v>
          </cell>
          <cell r="P41">
            <v>0</v>
          </cell>
          <cell r="Q41"/>
          <cell r="R41">
            <v>220480</v>
          </cell>
          <cell r="S41">
            <v>0.06</v>
          </cell>
          <cell r="T41">
            <v>17333.333333333332</v>
          </cell>
          <cell r="U41">
            <v>0.94339622641509435</v>
          </cell>
        </row>
        <row r="42">
          <cell r="B42">
            <v>226</v>
          </cell>
          <cell r="C42" t="str">
            <v>Kanmani R</v>
          </cell>
          <cell r="D42"/>
          <cell r="E42">
            <v>45019</v>
          </cell>
          <cell r="F42" t="str">
            <v>1Y 0M 1D</v>
          </cell>
          <cell r="G42">
            <v>5.4</v>
          </cell>
          <cell r="H42" t="str">
            <v>I</v>
          </cell>
          <cell r="I42">
            <v>485000</v>
          </cell>
          <cell r="J42">
            <v>40416.666666666664</v>
          </cell>
          <cell r="K42">
            <v>0.125</v>
          </cell>
          <cell r="L42">
            <v>60625</v>
          </cell>
          <cell r="M42">
            <v>5052.083333333333</v>
          </cell>
          <cell r="N42">
            <v>545625</v>
          </cell>
          <cell r="O42">
            <v>45468.75</v>
          </cell>
          <cell r="P42">
            <v>40000</v>
          </cell>
          <cell r="Q42"/>
          <cell r="R42">
            <v>585625</v>
          </cell>
          <cell r="S42">
            <v>0.20747422680412372</v>
          </cell>
          <cell r="T42">
            <v>36375</v>
          </cell>
          <cell r="U42">
            <v>0.8</v>
          </cell>
        </row>
        <row r="43">
          <cell r="B43">
            <v>232</v>
          </cell>
          <cell r="C43" t="str">
            <v>Sowndarya G</v>
          </cell>
          <cell r="D43" t="str">
            <v>REUZZU, STEEL MANDI</v>
          </cell>
          <cell r="E43">
            <v>45028</v>
          </cell>
          <cell r="F43" t="str">
            <v>0Y 11M 23D</v>
          </cell>
          <cell r="G43">
            <v>3</v>
          </cell>
          <cell r="H43" t="str">
            <v>I</v>
          </cell>
          <cell r="I43">
            <v>800000</v>
          </cell>
          <cell r="J43">
            <v>66666.666666666672</v>
          </cell>
          <cell r="K43">
            <v>0.17</v>
          </cell>
          <cell r="L43">
            <v>136000</v>
          </cell>
          <cell r="M43">
            <v>11333.333333333334</v>
          </cell>
          <cell r="N43">
            <v>936000</v>
          </cell>
          <cell r="O43">
            <v>78000</v>
          </cell>
          <cell r="P43">
            <v>25000</v>
          </cell>
          <cell r="Q43"/>
          <cell r="R43">
            <v>961000</v>
          </cell>
          <cell r="S43">
            <v>0.20125000000000001</v>
          </cell>
          <cell r="T43">
            <v>60000.000000000007</v>
          </cell>
          <cell r="U43">
            <v>0.76923076923076927</v>
          </cell>
        </row>
        <row r="44">
          <cell r="B44">
            <v>234</v>
          </cell>
          <cell r="C44" t="str">
            <v>Nandhakumar R</v>
          </cell>
          <cell r="D44" t="str">
            <v>GURU BACK UP</v>
          </cell>
          <cell r="E44">
            <v>45056</v>
          </cell>
          <cell r="F44" t="str">
            <v>0Y 10M 25D</v>
          </cell>
          <cell r="G44">
            <v>0</v>
          </cell>
          <cell r="H44" t="str">
            <v>I</v>
          </cell>
          <cell r="I44">
            <v>360000</v>
          </cell>
          <cell r="J44">
            <v>30000</v>
          </cell>
          <cell r="K44">
            <v>0.15</v>
          </cell>
          <cell r="L44">
            <v>54000</v>
          </cell>
          <cell r="M44">
            <v>4500</v>
          </cell>
          <cell r="N44">
            <v>414000</v>
          </cell>
          <cell r="O44">
            <v>34500</v>
          </cell>
          <cell r="P44"/>
          <cell r="Q44"/>
          <cell r="R44">
            <v>414000</v>
          </cell>
          <cell r="S44">
            <v>0.15</v>
          </cell>
          <cell r="T44">
            <v>27000</v>
          </cell>
          <cell r="U44">
            <v>0.78260869565217395</v>
          </cell>
        </row>
        <row r="45">
          <cell r="B45">
            <v>236</v>
          </cell>
          <cell r="C45" t="str">
            <v>Usha Balachandran</v>
          </cell>
          <cell r="D45"/>
          <cell r="E45">
            <v>45078</v>
          </cell>
          <cell r="F45" t="str">
            <v>0Y 10M 3D</v>
          </cell>
          <cell r="G45">
            <v>26</v>
          </cell>
          <cell r="H45" t="str">
            <v>IV</v>
          </cell>
          <cell r="I45">
            <v>1500000</v>
          </cell>
          <cell r="J45">
            <v>125000</v>
          </cell>
          <cell r="K45">
            <v>0.06</v>
          </cell>
          <cell r="L45">
            <v>90000</v>
          </cell>
          <cell r="M45">
            <v>7500</v>
          </cell>
          <cell r="N45">
            <v>1590000</v>
          </cell>
          <cell r="O45">
            <v>132500</v>
          </cell>
          <cell r="P45">
            <v>0</v>
          </cell>
          <cell r="Q45"/>
          <cell r="R45">
            <v>1590000</v>
          </cell>
          <cell r="S45">
            <v>0.06</v>
          </cell>
          <cell r="T45">
            <v>68750</v>
          </cell>
          <cell r="U45">
            <v>0.51886792452830188</v>
          </cell>
        </row>
        <row r="46">
          <cell r="B46">
            <v>245</v>
          </cell>
          <cell r="C46" t="str">
            <v>Santhosh Kumar R</v>
          </cell>
          <cell r="D46"/>
          <cell r="E46">
            <v>45202</v>
          </cell>
          <cell r="F46" t="str">
            <v>0Y 6M 1D</v>
          </cell>
          <cell r="G46">
            <v>3</v>
          </cell>
          <cell r="H46" t="str">
            <v>I</v>
          </cell>
          <cell r="I46">
            <v>350000</v>
          </cell>
          <cell r="J46">
            <v>29166.666666666668</v>
          </cell>
          <cell r="K46">
            <v>0</v>
          </cell>
          <cell r="L46">
            <v>0</v>
          </cell>
          <cell r="M46">
            <v>0</v>
          </cell>
          <cell r="N46">
            <v>350000</v>
          </cell>
          <cell r="O46">
            <v>29166.666666666668</v>
          </cell>
          <cell r="P46">
            <v>0</v>
          </cell>
          <cell r="Q46"/>
          <cell r="R46">
            <v>350000</v>
          </cell>
          <cell r="S46">
            <v>0</v>
          </cell>
          <cell r="T46">
            <v>26250</v>
          </cell>
          <cell r="U46">
            <v>0.89999999999999991</v>
          </cell>
        </row>
        <row r="47">
          <cell r="B47">
            <v>249</v>
          </cell>
          <cell r="C47" t="str">
            <v>Sudharshan Sivakumar</v>
          </cell>
          <cell r="D47" t="str">
            <v>KAG</v>
          </cell>
          <cell r="E47">
            <v>45231</v>
          </cell>
          <cell r="F47" t="str">
            <v>0Y 5M 3D</v>
          </cell>
          <cell r="G47">
            <v>0</v>
          </cell>
          <cell r="H47" t="str">
            <v>I</v>
          </cell>
          <cell r="I47">
            <v>320000</v>
          </cell>
          <cell r="J47">
            <v>26666.666666666668</v>
          </cell>
          <cell r="K47">
            <v>0</v>
          </cell>
          <cell r="L47">
            <v>0</v>
          </cell>
          <cell r="M47">
            <v>0</v>
          </cell>
          <cell r="N47">
            <v>320000</v>
          </cell>
          <cell r="O47">
            <v>26666.666666666668</v>
          </cell>
          <cell r="P47">
            <v>0</v>
          </cell>
          <cell r="Q47"/>
          <cell r="R47"/>
          <cell r="S47"/>
          <cell r="T47">
            <v>24000</v>
          </cell>
          <cell r="U47">
            <v>0.89999999999999991</v>
          </cell>
        </row>
        <row r="48">
          <cell r="B48">
            <v>253</v>
          </cell>
          <cell r="C48" t="str">
            <v>M Sridhar</v>
          </cell>
          <cell r="D48"/>
          <cell r="E48">
            <v>45238</v>
          </cell>
          <cell r="F48" t="str">
            <v>0Y 4M 27D</v>
          </cell>
          <cell r="G48">
            <v>20</v>
          </cell>
          <cell r="H48" t="str">
            <v>I</v>
          </cell>
          <cell r="I48">
            <v>600000</v>
          </cell>
          <cell r="J48">
            <v>50000</v>
          </cell>
          <cell r="K48">
            <v>0</v>
          </cell>
          <cell r="L48">
            <v>0</v>
          </cell>
          <cell r="M48">
            <v>0</v>
          </cell>
          <cell r="N48">
            <v>600000</v>
          </cell>
          <cell r="O48">
            <v>50000</v>
          </cell>
          <cell r="P48">
            <v>0</v>
          </cell>
          <cell r="Q48"/>
          <cell r="R48"/>
          <cell r="S48"/>
          <cell r="T48">
            <v>45000</v>
          </cell>
          <cell r="U48">
            <v>0.9</v>
          </cell>
        </row>
        <row r="49">
          <cell r="B49">
            <v>254</v>
          </cell>
          <cell r="C49" t="str">
            <v>Jai Ganesh R</v>
          </cell>
          <cell r="D49" t="str">
            <v>PALTALK BACKUP</v>
          </cell>
          <cell r="E49">
            <v>45278</v>
          </cell>
          <cell r="F49" t="str">
            <v>0Y 3M 17D</v>
          </cell>
          <cell r="G49">
            <v>0</v>
          </cell>
          <cell r="H49" t="str">
            <v>I</v>
          </cell>
          <cell r="I49">
            <v>320000</v>
          </cell>
          <cell r="J49">
            <v>26666.666666666668</v>
          </cell>
          <cell r="K49">
            <v>0</v>
          </cell>
          <cell r="L49">
            <v>0</v>
          </cell>
          <cell r="M49">
            <v>0</v>
          </cell>
          <cell r="N49">
            <v>320000</v>
          </cell>
          <cell r="O49">
            <v>26666.666666666668</v>
          </cell>
          <cell r="P49">
            <v>0</v>
          </cell>
          <cell r="Q49"/>
          <cell r="R49"/>
          <cell r="S49"/>
          <cell r="T49">
            <v>24000</v>
          </cell>
          <cell r="U49">
            <v>0.89999999999999991</v>
          </cell>
        </row>
        <row r="50">
          <cell r="B50">
            <v>258</v>
          </cell>
          <cell r="C50" t="str">
            <v>Yugesh V</v>
          </cell>
          <cell r="D50" t="str">
            <v>IT</v>
          </cell>
          <cell r="E50">
            <v>45294</v>
          </cell>
          <cell r="F50" t="str">
            <v>0Y 3M 1D</v>
          </cell>
          <cell r="G50">
            <v>1.9</v>
          </cell>
          <cell r="H50" t="str">
            <v>I</v>
          </cell>
          <cell r="I50">
            <v>280000</v>
          </cell>
          <cell r="J50">
            <v>23333.333333333332</v>
          </cell>
          <cell r="K50">
            <v>0</v>
          </cell>
          <cell r="L50">
            <v>0</v>
          </cell>
          <cell r="M50">
            <v>0</v>
          </cell>
          <cell r="N50">
            <v>280000</v>
          </cell>
          <cell r="O50">
            <v>23333.333333333332</v>
          </cell>
          <cell r="P50">
            <v>0</v>
          </cell>
          <cell r="Q50"/>
          <cell r="R50"/>
          <cell r="S50"/>
          <cell r="T50">
            <v>21000</v>
          </cell>
          <cell r="U50">
            <v>0.9</v>
          </cell>
        </row>
        <row r="51">
          <cell r="B51">
            <v>260</v>
          </cell>
          <cell r="C51" t="str">
            <v>Kulashekar S</v>
          </cell>
          <cell r="D51" t="str">
            <v>VUMBER XAMERIN BACK UP</v>
          </cell>
          <cell r="E51">
            <v>45330</v>
          </cell>
          <cell r="F51" t="str">
            <v>0Y 1M 27D</v>
          </cell>
          <cell r="G51">
            <v>0</v>
          </cell>
          <cell r="H51" t="str">
            <v>I</v>
          </cell>
          <cell r="I51">
            <v>320000</v>
          </cell>
          <cell r="J51">
            <v>26666.666666666668</v>
          </cell>
          <cell r="K51">
            <v>0</v>
          </cell>
          <cell r="L51">
            <v>0</v>
          </cell>
          <cell r="M51">
            <v>0</v>
          </cell>
          <cell r="N51">
            <v>320000</v>
          </cell>
          <cell r="O51">
            <v>26666.666666666668</v>
          </cell>
          <cell r="P51">
            <v>0</v>
          </cell>
          <cell r="Q51"/>
          <cell r="R51"/>
          <cell r="S51"/>
          <cell r="T51">
            <v>24000</v>
          </cell>
          <cell r="U51">
            <v>0.89999999999999991</v>
          </cell>
        </row>
        <row r="52">
          <cell r="B52">
            <v>261</v>
          </cell>
          <cell r="C52" t="str">
            <v>M Anirud</v>
          </cell>
          <cell r="D52"/>
          <cell r="E52">
            <v>45330</v>
          </cell>
          <cell r="F52" t="str">
            <v>0Y 1M 27D</v>
          </cell>
          <cell r="G52">
            <v>0</v>
          </cell>
          <cell r="H52" t="str">
            <v>I</v>
          </cell>
          <cell r="I52">
            <v>320000</v>
          </cell>
          <cell r="J52">
            <v>26666.666666666668</v>
          </cell>
          <cell r="K52">
            <v>0</v>
          </cell>
          <cell r="L52">
            <v>0</v>
          </cell>
          <cell r="M52">
            <v>0</v>
          </cell>
          <cell r="N52">
            <v>320000</v>
          </cell>
          <cell r="O52">
            <v>26666.666666666668</v>
          </cell>
          <cell r="P52">
            <v>0</v>
          </cell>
          <cell r="Q52"/>
          <cell r="R52"/>
          <cell r="S52"/>
          <cell r="T52">
            <v>24000</v>
          </cell>
          <cell r="U52">
            <v>0.89999999999999991</v>
          </cell>
        </row>
        <row r="53">
          <cell r="B53">
            <v>262</v>
          </cell>
          <cell r="C53" t="str">
            <v>Mohamed Ilyas</v>
          </cell>
          <cell r="D53" t="str">
            <v>REIMBURSIFY</v>
          </cell>
          <cell r="E53">
            <v>45343</v>
          </cell>
          <cell r="F53" t="str">
            <v>0Y 1M 14D</v>
          </cell>
          <cell r="G53">
            <v>8</v>
          </cell>
          <cell r="H53" t="str">
            <v>I</v>
          </cell>
          <cell r="I53">
            <v>700000</v>
          </cell>
          <cell r="J53">
            <v>58333.333333333336</v>
          </cell>
          <cell r="K53">
            <v>0</v>
          </cell>
          <cell r="L53">
            <v>0</v>
          </cell>
          <cell r="M53">
            <v>0</v>
          </cell>
          <cell r="N53">
            <v>700000</v>
          </cell>
          <cell r="O53">
            <v>58333.333333333336</v>
          </cell>
          <cell r="P53">
            <v>0</v>
          </cell>
          <cell r="Q53"/>
          <cell r="R53"/>
          <cell r="S53"/>
          <cell r="T53">
            <v>35000</v>
          </cell>
          <cell r="U53">
            <v>0.6</v>
          </cell>
        </row>
        <row r="54">
          <cell r="B54">
            <v>155</v>
          </cell>
          <cell r="C54" t="str">
            <v>Kumaresan .S</v>
          </cell>
          <cell r="E54">
            <v>43923</v>
          </cell>
          <cell r="F54"/>
          <cell r="G54">
            <v>0</v>
          </cell>
          <cell r="H54" t="str">
            <v>II</v>
          </cell>
          <cell r="I54">
            <v>1632234.375</v>
          </cell>
          <cell r="J54">
            <v>136019.53125</v>
          </cell>
          <cell r="K54">
            <v>0.125</v>
          </cell>
          <cell r="L54">
            <v>204029.296875</v>
          </cell>
          <cell r="M54">
            <v>17002.44140625</v>
          </cell>
          <cell r="N54">
            <v>1836263.671875</v>
          </cell>
          <cell r="O54">
            <v>153021.97265625</v>
          </cell>
          <cell r="P54">
            <v>75000</v>
          </cell>
          <cell r="Q54"/>
          <cell r="R54">
            <v>1911263.671875</v>
          </cell>
          <cell r="S54">
            <v>0.17094928347836075</v>
          </cell>
          <cell r="T54">
            <v>66498.437500000015</v>
          </cell>
          <cell r="U54">
            <v>0.43456790123456801</v>
          </cell>
        </row>
        <row r="55">
          <cell r="B55">
            <v>151</v>
          </cell>
          <cell r="C55" t="str">
            <v>Jeyachitra .J</v>
          </cell>
          <cell r="D55"/>
          <cell r="E55">
            <v>43906</v>
          </cell>
          <cell r="F55" t="str">
            <v>4Y 0M 19D</v>
          </cell>
          <cell r="G55">
            <v>1.5</v>
          </cell>
          <cell r="H55" t="str">
            <v>I</v>
          </cell>
          <cell r="I55">
            <v>1450585.7280000001</v>
          </cell>
          <cell r="J55">
            <v>120882.14400000001</v>
          </cell>
          <cell r="K55">
            <v>0.11</v>
          </cell>
          <cell r="L55">
            <v>159564.43008000002</v>
          </cell>
          <cell r="M55">
            <v>13297.035840000002</v>
          </cell>
          <cell r="N55">
            <v>1610150.1580800002</v>
          </cell>
          <cell r="O55">
            <v>134179.17984000003</v>
          </cell>
          <cell r="P55">
            <v>60000</v>
          </cell>
          <cell r="Q55"/>
          <cell r="R55">
            <v>1670150.1580800002</v>
          </cell>
          <cell r="S55">
            <v>0.15136260190752412</v>
          </cell>
          <cell r="T55">
            <v>53176.247907195844</v>
          </cell>
          <cell r="U55">
            <v>0.39630774290471199</v>
          </cell>
        </row>
        <row r="56">
          <cell r="B56">
            <v>114</v>
          </cell>
          <cell r="C56" t="str">
            <v>Vaidyanathan</v>
          </cell>
          <cell r="E56">
            <v>42736</v>
          </cell>
          <cell r="F56"/>
          <cell r="G56">
            <v>0</v>
          </cell>
          <cell r="H56" t="str">
            <v>V</v>
          </cell>
          <cell r="I56">
            <v>1800000</v>
          </cell>
          <cell r="J56">
            <v>150000</v>
          </cell>
          <cell r="K56">
            <v>0</v>
          </cell>
          <cell r="L56">
            <v>0</v>
          </cell>
          <cell r="M56">
            <v>0</v>
          </cell>
          <cell r="N56">
            <v>1800000</v>
          </cell>
          <cell r="O56">
            <v>150000</v>
          </cell>
          <cell r="P56">
            <v>0</v>
          </cell>
          <cell r="Q56"/>
          <cell r="R56">
            <v>1800000</v>
          </cell>
          <cell r="S56">
            <v>0</v>
          </cell>
          <cell r="T56">
            <v>75000</v>
          </cell>
          <cell r="U56">
            <v>0.5</v>
          </cell>
        </row>
        <row r="57">
          <cell r="B57"/>
          <cell r="C57" t="str">
            <v>yashomathi</v>
          </cell>
          <cell r="D57"/>
          <cell r="E57"/>
          <cell r="F57"/>
          <cell r="G57"/>
          <cell r="H57"/>
          <cell r="I57">
            <v>320000</v>
          </cell>
          <cell r="J57">
            <v>26666.666666666668</v>
          </cell>
          <cell r="K57">
            <v>0</v>
          </cell>
          <cell r="L57">
            <v>0</v>
          </cell>
          <cell r="M57">
            <v>0</v>
          </cell>
          <cell r="N57">
            <v>320000</v>
          </cell>
          <cell r="O57">
            <v>26666.666666666668</v>
          </cell>
          <cell r="P57">
            <v>0</v>
          </cell>
          <cell r="Q57"/>
          <cell r="R57">
            <v>320000</v>
          </cell>
          <cell r="S57">
            <v>0</v>
          </cell>
          <cell r="T57">
            <v>0</v>
          </cell>
          <cell r="U57">
            <v>0</v>
          </cell>
        </row>
        <row r="58">
          <cell r="B58"/>
          <cell r="C58" t="str">
            <v>Rathipriya</v>
          </cell>
          <cell r="D58"/>
          <cell r="E58"/>
          <cell r="F58"/>
          <cell r="G58"/>
          <cell r="H58"/>
          <cell r="I58">
            <v>320000</v>
          </cell>
          <cell r="J58">
            <v>26666.666666666668</v>
          </cell>
          <cell r="K58">
            <v>0</v>
          </cell>
          <cell r="L58">
            <v>0</v>
          </cell>
          <cell r="M58">
            <v>0</v>
          </cell>
          <cell r="N58">
            <v>320000</v>
          </cell>
          <cell r="O58">
            <v>26666.666666666668</v>
          </cell>
          <cell r="P58">
            <v>0</v>
          </cell>
          <cell r="Q58"/>
          <cell r="R58">
            <v>320000</v>
          </cell>
          <cell r="S58">
            <v>0</v>
          </cell>
          <cell r="T58">
            <v>0</v>
          </cell>
          <cell r="U58">
            <v>0</v>
          </cell>
        </row>
        <row r="59">
          <cell r="B59"/>
          <cell r="C59" t="str">
            <v>Krishnan</v>
          </cell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>
            <v>552000</v>
          </cell>
          <cell r="O59">
            <v>46000</v>
          </cell>
          <cell r="P59"/>
          <cell r="Q59"/>
          <cell r="R59"/>
          <cell r="S59"/>
          <cell r="T59">
            <v>0</v>
          </cell>
          <cell r="U59">
            <v>0</v>
          </cell>
        </row>
        <row r="60">
          <cell r="B60"/>
          <cell r="C60" t="str">
            <v>Bir Bahadur</v>
          </cell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>
            <v>363534</v>
          </cell>
          <cell r="O60">
            <v>30294.5</v>
          </cell>
          <cell r="P60">
            <v>1000</v>
          </cell>
          <cell r="Q60"/>
          <cell r="R60"/>
          <cell r="S60"/>
          <cell r="T60">
            <v>0</v>
          </cell>
          <cell r="U60">
            <v>0</v>
          </cell>
        </row>
        <row r="61">
          <cell r="B61"/>
          <cell r="C61" t="str">
            <v>Sarangapani</v>
          </cell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>
            <v>361734</v>
          </cell>
          <cell r="O61">
            <v>30144.5</v>
          </cell>
          <cell r="P61">
            <v>1000</v>
          </cell>
          <cell r="Q61"/>
          <cell r="R61"/>
          <cell r="S61"/>
          <cell r="T61">
            <v>0</v>
          </cell>
          <cell r="U61">
            <v>0</v>
          </cell>
        </row>
        <row r="62">
          <cell r="B62"/>
          <cell r="C62" t="str">
            <v>Samburnam</v>
          </cell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>
            <v>178853</v>
          </cell>
          <cell r="O62">
            <v>14904.416666666666</v>
          </cell>
          <cell r="P62">
            <v>1000</v>
          </cell>
          <cell r="Q62"/>
          <cell r="R62"/>
          <cell r="S62"/>
          <cell r="T62">
            <v>0</v>
          </cell>
          <cell r="U62">
            <v>0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>
            <v>0</v>
          </cell>
          <cell r="U63" t="e">
            <v>#DIV/0!</v>
          </cell>
        </row>
        <row r="64">
          <cell r="C64"/>
          <cell r="J64"/>
          <cell r="K64"/>
          <cell r="O64"/>
          <cell r="S64"/>
          <cell r="T64">
            <v>0</v>
          </cell>
          <cell r="U64" t="e">
            <v>#DIV/0!</v>
          </cell>
        </row>
        <row r="65">
          <cell r="C65"/>
          <cell r="J65"/>
          <cell r="K65"/>
          <cell r="O65"/>
          <cell r="S65"/>
          <cell r="T65">
            <v>0</v>
          </cell>
          <cell r="U65" t="e">
            <v>#DIV/0!</v>
          </cell>
        </row>
        <row r="66">
          <cell r="C66"/>
          <cell r="J66"/>
          <cell r="K66"/>
          <cell r="O66"/>
          <cell r="S66"/>
          <cell r="T66">
            <v>0</v>
          </cell>
          <cell r="U66" t="e">
            <v>#DIV/0!</v>
          </cell>
        </row>
        <row r="67">
          <cell r="C67"/>
          <cell r="J67"/>
          <cell r="K67"/>
          <cell r="O67"/>
          <cell r="S67"/>
          <cell r="T67">
            <v>0</v>
          </cell>
          <cell r="U67" t="e">
            <v>#DIV/0!</v>
          </cell>
        </row>
        <row r="68">
          <cell r="C68"/>
          <cell r="J68"/>
          <cell r="K68"/>
          <cell r="O68"/>
          <cell r="S68"/>
          <cell r="T68">
            <v>0</v>
          </cell>
          <cell r="U68" t="e">
            <v>#DIV/0!</v>
          </cell>
        </row>
        <row r="69">
          <cell r="J69"/>
          <cell r="O69">
            <v>5397419.31685468</v>
          </cell>
          <cell r="P69">
            <v>4825500</v>
          </cell>
          <cell r="T69">
            <v>0</v>
          </cell>
          <cell r="U69">
            <v>0</v>
          </cell>
        </row>
        <row r="70">
          <cell r="T70">
            <v>0</v>
          </cell>
          <cell r="U70" t="e">
            <v>#DIV/0!</v>
          </cell>
        </row>
        <row r="71">
          <cell r="B71">
            <v>210</v>
          </cell>
          <cell r="C71" t="str">
            <v>Sreejeesh M</v>
          </cell>
          <cell r="D71" t="str">
            <v>UI/UX</v>
          </cell>
          <cell r="E71">
            <v>44725</v>
          </cell>
          <cell r="F71" t="str">
            <v>1Y 9M 21D</v>
          </cell>
          <cell r="G71">
            <v>0</v>
          </cell>
          <cell r="H71" t="str">
            <v>I</v>
          </cell>
          <cell r="I71">
            <v>315000</v>
          </cell>
          <cell r="J71">
            <v>26250</v>
          </cell>
          <cell r="K71">
            <v>0.15</v>
          </cell>
          <cell r="L71">
            <v>47250</v>
          </cell>
          <cell r="M71">
            <v>3937.5</v>
          </cell>
          <cell r="N71">
            <v>362250</v>
          </cell>
          <cell r="O71">
            <v>30187.5</v>
          </cell>
          <cell r="P71">
            <v>40000</v>
          </cell>
          <cell r="Q71"/>
          <cell r="R71">
            <v>402250</v>
          </cell>
          <cell r="S71">
            <v>0.276984126984127</v>
          </cell>
          <cell r="T71">
            <v>21000</v>
          </cell>
          <cell r="U71">
            <v>0.69565217391304346</v>
          </cell>
        </row>
        <row r="72">
          <cell r="B72">
            <v>230</v>
          </cell>
          <cell r="C72" t="str">
            <v>Nethaji M</v>
          </cell>
          <cell r="D72" t="str">
            <v>FULL STACK-CASA</v>
          </cell>
          <cell r="E72">
            <v>45026</v>
          </cell>
          <cell r="F72" t="str">
            <v>0Y 11M 25D</v>
          </cell>
          <cell r="G72">
            <v>0</v>
          </cell>
          <cell r="H72" t="str">
            <v>I</v>
          </cell>
          <cell r="I72">
            <v>400000</v>
          </cell>
          <cell r="J72">
            <v>33333.333333333336</v>
          </cell>
          <cell r="K72">
            <v>0.18</v>
          </cell>
          <cell r="L72">
            <v>72000</v>
          </cell>
          <cell r="M72">
            <v>6000</v>
          </cell>
          <cell r="N72">
            <v>472000</v>
          </cell>
          <cell r="O72">
            <v>39333.333333333336</v>
          </cell>
          <cell r="P72">
            <v>0</v>
          </cell>
          <cell r="Q72"/>
          <cell r="R72">
            <v>472000</v>
          </cell>
          <cell r="S72">
            <v>0.18</v>
          </cell>
          <cell r="T72">
            <v>30000.000000000004</v>
          </cell>
          <cell r="U72">
            <v>0.76271186440677974</v>
          </cell>
        </row>
        <row r="73">
          <cell r="B73">
            <v>231</v>
          </cell>
          <cell r="C73" t="str">
            <v>Abhijith M K</v>
          </cell>
          <cell r="D73" t="str">
            <v>NODE JS - LMS FA</v>
          </cell>
          <cell r="E73">
            <v>45028</v>
          </cell>
          <cell r="F73" t="str">
            <v>0Y 11M 23D</v>
          </cell>
          <cell r="G73">
            <v>0</v>
          </cell>
          <cell r="H73" t="str">
            <v>I</v>
          </cell>
          <cell r="I73">
            <v>400000</v>
          </cell>
          <cell r="J73">
            <v>33333.333333333336</v>
          </cell>
          <cell r="K73">
            <v>0.15</v>
          </cell>
          <cell r="L73">
            <v>60000</v>
          </cell>
          <cell r="M73">
            <v>5000</v>
          </cell>
          <cell r="N73">
            <v>460000</v>
          </cell>
          <cell r="O73">
            <v>38333.333333333336</v>
          </cell>
          <cell r="P73">
            <v>0</v>
          </cell>
          <cell r="Q73"/>
          <cell r="R73">
            <v>460000</v>
          </cell>
          <cell r="S73">
            <v>0.15</v>
          </cell>
          <cell r="T73">
            <v>30000.000000000004</v>
          </cell>
          <cell r="U73">
            <v>0.78260869565217395</v>
          </cell>
        </row>
        <row r="74">
          <cell r="B74">
            <v>235</v>
          </cell>
          <cell r="C74" t="str">
            <v>Abhin Prasad PV</v>
          </cell>
          <cell r="D74" t="str">
            <v>NODE JS - LMS FA</v>
          </cell>
          <cell r="E74">
            <v>45068</v>
          </cell>
          <cell r="F74" t="str">
            <v>0Y 10M 13D</v>
          </cell>
          <cell r="G74">
            <v>0</v>
          </cell>
          <cell r="H74" t="str">
            <v>I</v>
          </cell>
          <cell r="I74">
            <v>350000</v>
          </cell>
          <cell r="J74">
            <v>29166.666666666668</v>
          </cell>
          <cell r="K74">
            <v>0.314</v>
          </cell>
          <cell r="L74">
            <v>109900</v>
          </cell>
          <cell r="M74">
            <v>9158.3333333333339</v>
          </cell>
          <cell r="N74">
            <v>459900</v>
          </cell>
          <cell r="O74">
            <v>38325</v>
          </cell>
          <cell r="P74">
            <v>0</v>
          </cell>
          <cell r="Q74"/>
          <cell r="R74">
            <v>459900</v>
          </cell>
          <cell r="S74">
            <v>0.314</v>
          </cell>
          <cell r="T74">
            <v>26250</v>
          </cell>
          <cell r="U74">
            <v>0.68493150684931503</v>
          </cell>
        </row>
        <row r="75">
          <cell r="B75">
            <v>240</v>
          </cell>
          <cell r="C75" t="str">
            <v>Narendar D</v>
          </cell>
          <cell r="D75" t="str">
            <v>QA - STEEL MANDI</v>
          </cell>
          <cell r="E75">
            <v>45161</v>
          </cell>
          <cell r="F75" t="str">
            <v>0Y 7M 12D</v>
          </cell>
          <cell r="G75">
            <v>1</v>
          </cell>
          <cell r="H75" t="str">
            <v>I</v>
          </cell>
          <cell r="I75">
            <v>320000</v>
          </cell>
          <cell r="J75">
            <v>26666.666666666668</v>
          </cell>
          <cell r="K75">
            <v>0</v>
          </cell>
          <cell r="L75">
            <v>0</v>
          </cell>
          <cell r="M75">
            <v>0</v>
          </cell>
          <cell r="N75">
            <v>320000</v>
          </cell>
          <cell r="O75">
            <v>26666.666666666668</v>
          </cell>
          <cell r="P75">
            <v>0</v>
          </cell>
          <cell r="Q75"/>
          <cell r="R75">
            <v>320000</v>
          </cell>
          <cell r="S75">
            <v>0</v>
          </cell>
          <cell r="T75">
            <v>24000</v>
          </cell>
          <cell r="U75">
            <v>0.89999999999999991</v>
          </cell>
        </row>
        <row r="76">
          <cell r="B76">
            <v>244</v>
          </cell>
          <cell r="C76" t="str">
            <v>Annamalai M</v>
          </cell>
          <cell r="D76" t="str">
            <v>DEV OPS</v>
          </cell>
          <cell r="E76">
            <v>45202</v>
          </cell>
          <cell r="F76" t="str">
            <v>0Y 6M 1D</v>
          </cell>
          <cell r="G76">
            <v>0</v>
          </cell>
          <cell r="H76" t="str">
            <v>I</v>
          </cell>
          <cell r="I76">
            <v>320000</v>
          </cell>
          <cell r="J76">
            <v>26666.666666666668</v>
          </cell>
          <cell r="K76">
            <v>0</v>
          </cell>
          <cell r="L76">
            <v>0</v>
          </cell>
          <cell r="M76">
            <v>0</v>
          </cell>
          <cell r="N76">
            <v>320000</v>
          </cell>
          <cell r="O76">
            <v>26666.666666666668</v>
          </cell>
          <cell r="P76">
            <v>0</v>
          </cell>
          <cell r="Q76"/>
          <cell r="R76">
            <v>320000</v>
          </cell>
          <cell r="S76">
            <v>0</v>
          </cell>
          <cell r="T76">
            <v>24000</v>
          </cell>
          <cell r="U76">
            <v>0.89999999999999991</v>
          </cell>
        </row>
        <row r="77">
          <cell r="B77">
            <v>246</v>
          </cell>
          <cell r="C77" t="str">
            <v>Mohanan VK</v>
          </cell>
          <cell r="D77" t="str">
            <v>QA</v>
          </cell>
          <cell r="E77">
            <v>45205</v>
          </cell>
          <cell r="F77" t="str">
            <v>0Y 5M 29D</v>
          </cell>
          <cell r="G77">
            <v>0</v>
          </cell>
          <cell r="H77" t="str">
            <v>I</v>
          </cell>
          <cell r="I77">
            <v>320000</v>
          </cell>
          <cell r="J77">
            <v>26666.666666666668</v>
          </cell>
          <cell r="K77">
            <v>0</v>
          </cell>
          <cell r="L77">
            <v>0</v>
          </cell>
          <cell r="M77">
            <v>0</v>
          </cell>
          <cell r="N77">
            <v>320000</v>
          </cell>
          <cell r="O77">
            <v>26666.666666666668</v>
          </cell>
          <cell r="P77">
            <v>0</v>
          </cell>
          <cell r="Q77"/>
          <cell r="R77">
            <v>320000</v>
          </cell>
          <cell r="S77">
            <v>0</v>
          </cell>
          <cell r="T77">
            <v>24000</v>
          </cell>
          <cell r="U77">
            <v>0.89999999999999991</v>
          </cell>
        </row>
        <row r="78">
          <cell r="B78">
            <v>250</v>
          </cell>
          <cell r="C78" t="str">
            <v>Gowtham S</v>
          </cell>
          <cell r="D78" t="str">
            <v>NODE JS - REIMBURSIFY</v>
          </cell>
          <cell r="E78">
            <v>45231</v>
          </cell>
          <cell r="F78" t="str">
            <v>0Y 5M 3D</v>
          </cell>
          <cell r="G78">
            <v>0</v>
          </cell>
          <cell r="H78" t="str">
            <v>I</v>
          </cell>
          <cell r="I78">
            <v>320000</v>
          </cell>
          <cell r="J78">
            <v>26666.666666666668</v>
          </cell>
          <cell r="K78">
            <v>0</v>
          </cell>
          <cell r="L78">
            <v>0</v>
          </cell>
          <cell r="M78">
            <v>0</v>
          </cell>
          <cell r="N78">
            <v>320000</v>
          </cell>
          <cell r="O78">
            <v>26666.666666666668</v>
          </cell>
          <cell r="P78">
            <v>0</v>
          </cell>
          <cell r="Q78"/>
          <cell r="R78">
            <v>320000</v>
          </cell>
          <cell r="S78">
            <v>0</v>
          </cell>
          <cell r="T78">
            <v>24000</v>
          </cell>
          <cell r="U78">
            <v>0.89999999999999991</v>
          </cell>
        </row>
        <row r="79">
          <cell r="B79">
            <v>256</v>
          </cell>
          <cell r="C79" t="str">
            <v>Karthiga Kasinathan</v>
          </cell>
          <cell r="D79" t="str">
            <v>ANDROID - THINK WISE</v>
          </cell>
          <cell r="E79">
            <v>45293</v>
          </cell>
          <cell r="F79" t="str">
            <v>0Y 3M 2D</v>
          </cell>
          <cell r="G79">
            <v>2</v>
          </cell>
          <cell r="H79" t="str">
            <v>I</v>
          </cell>
          <cell r="I79">
            <v>500000</v>
          </cell>
          <cell r="J79">
            <v>41666.666666666664</v>
          </cell>
          <cell r="K79">
            <v>0</v>
          </cell>
          <cell r="L79">
            <v>0</v>
          </cell>
          <cell r="M79">
            <v>0</v>
          </cell>
          <cell r="N79">
            <v>500000</v>
          </cell>
          <cell r="O79">
            <v>41666.666666666664</v>
          </cell>
          <cell r="P79">
            <v>0</v>
          </cell>
          <cell r="Q79"/>
          <cell r="R79">
            <v>500000</v>
          </cell>
          <cell r="S79">
            <v>0</v>
          </cell>
          <cell r="T79">
            <v>37500</v>
          </cell>
          <cell r="U79">
            <v>0.9</v>
          </cell>
        </row>
        <row r="80">
          <cell r="B80">
            <v>257</v>
          </cell>
          <cell r="C80" t="str">
            <v>Sathya Narayanan Madurairaj</v>
          </cell>
          <cell r="D80" t="str">
            <v xml:space="preserve">IOS </v>
          </cell>
          <cell r="E80">
            <v>45293</v>
          </cell>
          <cell r="F80" t="str">
            <v>0Y 3M 2D</v>
          </cell>
          <cell r="G80">
            <v>1.8</v>
          </cell>
          <cell r="H80" t="str">
            <v>I</v>
          </cell>
          <cell r="I80">
            <v>400000</v>
          </cell>
          <cell r="J80">
            <v>33333.333333333336</v>
          </cell>
          <cell r="K80">
            <v>0</v>
          </cell>
          <cell r="L80">
            <v>0</v>
          </cell>
          <cell r="M80">
            <v>0</v>
          </cell>
          <cell r="N80">
            <v>400000</v>
          </cell>
          <cell r="O80">
            <v>33333.333333333336</v>
          </cell>
          <cell r="P80">
            <v>0</v>
          </cell>
          <cell r="Q80"/>
          <cell r="R80">
            <v>400000</v>
          </cell>
          <cell r="S80">
            <v>0</v>
          </cell>
          <cell r="T80">
            <v>30000.000000000004</v>
          </cell>
          <cell r="U80">
            <v>0.9</v>
          </cell>
        </row>
        <row r="81">
          <cell r="B81">
            <v>259</v>
          </cell>
          <cell r="C81" t="str">
            <v>V Sanjaikumar</v>
          </cell>
          <cell r="D81" t="str">
            <v>ANDROID -INTER</v>
          </cell>
          <cell r="E81">
            <v>45330</v>
          </cell>
          <cell r="F81" t="str">
            <v>0Y 1M 27D</v>
          </cell>
          <cell r="G81">
            <v>0</v>
          </cell>
          <cell r="H81" t="str">
            <v>I</v>
          </cell>
          <cell r="I81">
            <v>320000</v>
          </cell>
          <cell r="J81">
            <v>26666.666666666668</v>
          </cell>
          <cell r="K81">
            <v>0</v>
          </cell>
          <cell r="L81">
            <v>0</v>
          </cell>
          <cell r="M81">
            <v>0</v>
          </cell>
          <cell r="N81">
            <v>320000</v>
          </cell>
          <cell r="O81">
            <v>26666.666666666668</v>
          </cell>
          <cell r="P81">
            <v>0</v>
          </cell>
          <cell r="Q81"/>
          <cell r="R81">
            <v>320000</v>
          </cell>
          <cell r="S81">
            <v>0</v>
          </cell>
          <cell r="T81">
            <v>24000</v>
          </cell>
          <cell r="U81">
            <v>0.89999999999999991</v>
          </cell>
        </row>
        <row r="82">
          <cell r="B82">
            <v>214</v>
          </cell>
          <cell r="C82" t="str">
            <v>Prajith P</v>
          </cell>
          <cell r="D82"/>
          <cell r="E82">
            <v>44776</v>
          </cell>
          <cell r="F82" t="str">
            <v>1Y 8M 1D</v>
          </cell>
          <cell r="G82">
            <v>0.7</v>
          </cell>
          <cell r="H82" t="str">
            <v>I</v>
          </cell>
          <cell r="I82">
            <v>331980</v>
          </cell>
          <cell r="J82">
            <v>27665</v>
          </cell>
          <cell r="K82">
            <v>0.125</v>
          </cell>
          <cell r="L82">
            <v>41497.5</v>
          </cell>
          <cell r="M82">
            <v>3458.125</v>
          </cell>
          <cell r="N82">
            <v>373477.5</v>
          </cell>
          <cell r="O82">
            <v>31123.125</v>
          </cell>
          <cell r="P82">
            <v>50000</v>
          </cell>
          <cell r="Q82"/>
          <cell r="R82">
            <v>423477.5</v>
          </cell>
          <cell r="S82">
            <v>0.27561148261943491</v>
          </cell>
          <cell r="T82">
            <v>5658.75</v>
          </cell>
          <cell r="U82">
            <v>0.18181818181818182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0"/>
  <sheetViews>
    <sheetView showGridLines="0" workbookViewId="0">
      <selection activeCell="E19" sqref="E19"/>
    </sheetView>
  </sheetViews>
  <sheetFormatPr defaultRowHeight="14.25"/>
  <cols>
    <col min="1" max="1" width="3.5703125" customWidth="1"/>
    <col min="2" max="2" width="10.85546875" bestFit="1" customWidth="1"/>
    <col min="3" max="3" width="26" bestFit="1" customWidth="1"/>
    <col min="4" max="4" width="21.42578125" bestFit="1" customWidth="1"/>
  </cols>
  <sheetData>
    <row r="2" spans="2:8">
      <c r="B2" s="2" t="s">
        <v>0</v>
      </c>
    </row>
    <row r="3" spans="2:8">
      <c r="B3" s="2" t="s">
        <v>1</v>
      </c>
    </row>
    <row r="6" spans="2:8" s="2" customFormat="1">
      <c r="B6" s="7" t="s">
        <v>2</v>
      </c>
      <c r="C6" s="7" t="s">
        <v>3</v>
      </c>
      <c r="D6" s="7" t="s">
        <v>4</v>
      </c>
      <c r="H6" s="21"/>
    </row>
    <row r="7" spans="2:8">
      <c r="B7" s="8">
        <v>1</v>
      </c>
      <c r="C7" s="8" t="str">
        <f>P.1!B5</f>
        <v>Salary Sheet - April 2024</v>
      </c>
      <c r="D7" s="8" t="str">
        <f>P.1!B6</f>
        <v>P.1</v>
      </c>
      <c r="H7" s="21"/>
    </row>
    <row r="8" spans="2:8">
      <c r="B8" s="8">
        <f>B7+1</f>
        <v>2</v>
      </c>
      <c r="C8" s="8" t="str">
        <f>P.2!B4</f>
        <v>Bank Upload</v>
      </c>
      <c r="D8" s="8" t="str">
        <f>P.2!B5</f>
        <v>P.2</v>
      </c>
      <c r="H8" s="21"/>
    </row>
    <row r="9" spans="2:8">
      <c r="B9" s="8">
        <f t="shared" ref="B9:B11" si="0">B8+1</f>
        <v>3</v>
      </c>
      <c r="C9" s="8" t="str">
        <f>P.3!B4</f>
        <v>TDS Computation</v>
      </c>
      <c r="D9" s="8" t="str">
        <f>P.3!B5</f>
        <v>P.3</v>
      </c>
      <c r="H9" s="21"/>
    </row>
    <row r="10" spans="2:8">
      <c r="B10" s="8">
        <f t="shared" si="0"/>
        <v>4</v>
      </c>
      <c r="C10" s="8" t="str">
        <f>P.4!B4</f>
        <v>Gratuity Computation</v>
      </c>
      <c r="D10" s="8" t="str">
        <f>P.4!B5</f>
        <v>P.4</v>
      </c>
      <c r="H10" s="21"/>
    </row>
    <row r="11" spans="2:8">
      <c r="B11" s="8">
        <f t="shared" si="0"/>
        <v>5</v>
      </c>
      <c r="C11" s="8" t="str">
        <f>P.5!B4</f>
        <v>Loan master</v>
      </c>
      <c r="D11" s="8" t="str">
        <f>P.5!B5</f>
        <v>P.5</v>
      </c>
      <c r="H11" s="21"/>
    </row>
    <row r="12" spans="2:8">
      <c r="H12" s="21"/>
    </row>
    <row r="13" spans="2:8">
      <c r="H13" s="21"/>
    </row>
    <row r="14" spans="2:8">
      <c r="H14" s="21"/>
    </row>
    <row r="15" spans="2:8">
      <c r="H15" s="21"/>
    </row>
    <row r="16" spans="2:8">
      <c r="H16" s="21"/>
    </row>
    <row r="17" spans="8:8">
      <c r="H17" s="21"/>
    </row>
    <row r="18" spans="8:8">
      <c r="H18" s="21"/>
    </row>
    <row r="19" spans="8:8">
      <c r="H19" s="21"/>
    </row>
    <row r="20" spans="8:8">
      <c r="H20" s="21"/>
    </row>
    <row r="21" spans="8:8">
      <c r="H21" s="21"/>
    </row>
    <row r="22" spans="8:8">
      <c r="H22" s="21"/>
    </row>
    <row r="23" spans="8:8">
      <c r="H23" s="21"/>
    </row>
    <row r="24" spans="8:8">
      <c r="H24" s="21"/>
    </row>
    <row r="25" spans="8:8">
      <c r="H25" s="21"/>
    </row>
    <row r="26" spans="8:8">
      <c r="H26" s="21"/>
    </row>
    <row r="27" spans="8:8">
      <c r="H27" s="21"/>
    </row>
    <row r="28" spans="8:8">
      <c r="H28" s="21"/>
    </row>
    <row r="29" spans="8:8">
      <c r="H29" s="21"/>
    </row>
    <row r="30" spans="8:8">
      <c r="H30" s="21"/>
    </row>
    <row r="31" spans="8:8">
      <c r="H31" s="21"/>
    </row>
    <row r="32" spans="8:8">
      <c r="H32" s="21"/>
    </row>
    <row r="33" spans="8:8">
      <c r="H33" s="21"/>
    </row>
    <row r="34" spans="8:8">
      <c r="H34" s="21"/>
    </row>
    <row r="35" spans="8:8">
      <c r="H35" s="21"/>
    </row>
    <row r="36" spans="8:8">
      <c r="H36" s="21"/>
    </row>
    <row r="37" spans="8:8">
      <c r="H37" s="21"/>
    </row>
    <row r="38" spans="8:8">
      <c r="H38" s="21"/>
    </row>
    <row r="39" spans="8:8">
      <c r="H39" s="21"/>
    </row>
    <row r="40" spans="8:8">
      <c r="H40" s="21"/>
    </row>
    <row r="41" spans="8:8">
      <c r="H41" s="21"/>
    </row>
    <row r="42" spans="8:8">
      <c r="H42" s="21"/>
    </row>
    <row r="43" spans="8:8">
      <c r="H43" s="21"/>
    </row>
    <row r="44" spans="8:8">
      <c r="H44" s="21"/>
    </row>
    <row r="45" spans="8:8">
      <c r="H45" s="21"/>
    </row>
    <row r="46" spans="8:8">
      <c r="H46" s="21"/>
    </row>
    <row r="47" spans="8:8">
      <c r="H47" s="21"/>
    </row>
    <row r="48" spans="8:8">
      <c r="H48" s="21"/>
    </row>
    <row r="49" spans="8:8">
      <c r="H49" s="21"/>
    </row>
    <row r="50" spans="8:8">
      <c r="H50" s="21"/>
    </row>
    <row r="51" spans="8:8">
      <c r="H51" s="21"/>
    </row>
    <row r="52" spans="8:8">
      <c r="H52" s="21"/>
    </row>
    <row r="53" spans="8:8">
      <c r="H53" s="21"/>
    </row>
    <row r="54" spans="8:8">
      <c r="H54" s="21"/>
    </row>
    <row r="55" spans="8:8">
      <c r="H55" s="21"/>
    </row>
    <row r="56" spans="8:8">
      <c r="H56" s="21"/>
    </row>
    <row r="57" spans="8:8">
      <c r="H57" s="21"/>
    </row>
    <row r="58" spans="8:8">
      <c r="H58" s="21"/>
    </row>
    <row r="59" spans="8:8">
      <c r="H59" s="21"/>
    </row>
    <row r="60" spans="8:8">
      <c r="H60" s="21"/>
    </row>
    <row r="61" spans="8:8">
      <c r="H61" s="21"/>
    </row>
    <row r="62" spans="8:8">
      <c r="H62" s="22"/>
    </row>
    <row r="63" spans="8:8">
      <c r="H63" s="21"/>
    </row>
    <row r="64" spans="8:8">
      <c r="H64" s="21"/>
    </row>
    <row r="65" spans="8:8">
      <c r="H65" s="21"/>
    </row>
    <row r="66" spans="8:8">
      <c r="H66" s="21"/>
    </row>
    <row r="67" spans="8:8">
      <c r="H67" s="21"/>
    </row>
    <row r="68" spans="8:8">
      <c r="H68" s="21"/>
    </row>
    <row r="69" spans="8:8">
      <c r="H69" s="21"/>
    </row>
    <row r="70" spans="8:8">
      <c r="H70" s="21"/>
    </row>
    <row r="71" spans="8:8">
      <c r="H71" s="21"/>
    </row>
    <row r="72" spans="8:8">
      <c r="H72" s="21"/>
    </row>
    <row r="73" spans="8:8">
      <c r="H73" s="21"/>
    </row>
    <row r="74" spans="8:8">
      <c r="H74" s="22"/>
    </row>
    <row r="75" spans="8:8">
      <c r="H75" s="21"/>
    </row>
    <row r="76" spans="8:8">
      <c r="H76" s="21"/>
    </row>
    <row r="77" spans="8:8">
      <c r="H77" s="21"/>
    </row>
    <row r="78" spans="8:8">
      <c r="H78" s="21"/>
    </row>
    <row r="79" spans="8:8">
      <c r="H79" s="21"/>
    </row>
    <row r="80" spans="8:8">
      <c r="H80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T11"/>
  <sheetViews>
    <sheetView showGridLines="0" tabSelected="1" zoomScaleNormal="100" zoomScaleSheetLayoutView="88" workbookViewId="0">
      <pane xSplit="4" ySplit="9" topLeftCell="E10" activePane="bottomRight" state="frozen"/>
      <selection pane="bottomRight" activeCell="H10" sqref="H10"/>
      <selection pane="bottomLeft" activeCell="J70" sqref="J70:L70"/>
      <selection pane="topRight" activeCell="J70" sqref="J70:L70"/>
    </sheetView>
  </sheetViews>
  <sheetFormatPr defaultRowHeight="14.25"/>
  <cols>
    <col min="1" max="1" width="3.42578125" customWidth="1"/>
    <col min="2" max="2" width="10.85546875" bestFit="1" customWidth="1"/>
    <col min="3" max="3" width="21.42578125" bestFit="1" customWidth="1"/>
    <col min="4" max="4" width="26.42578125" bestFit="1" customWidth="1"/>
    <col min="5" max="5" width="15.85546875" bestFit="1" customWidth="1"/>
    <col min="6" max="6" width="15.85546875" customWidth="1"/>
    <col min="7" max="7" width="14.42578125" bestFit="1" customWidth="1"/>
    <col min="8" max="8" width="8.5703125" bestFit="1" customWidth="1"/>
    <col min="9" max="9" width="12.42578125" bestFit="1" customWidth="1"/>
    <col min="10" max="10" width="19.7109375" style="1" bestFit="1" customWidth="1"/>
    <col min="11" max="11" width="14.140625" bestFit="1" customWidth="1"/>
    <col min="12" max="12" width="16.42578125" bestFit="1" customWidth="1"/>
    <col min="13" max="13" width="20.42578125" bestFit="1" customWidth="1"/>
    <col min="14" max="14" width="10.42578125" bestFit="1" customWidth="1"/>
    <col min="15" max="15" width="16" bestFit="1" customWidth="1"/>
    <col min="16" max="16" width="11.42578125" bestFit="1" customWidth="1"/>
    <col min="17" max="17" width="12.42578125" bestFit="1" customWidth="1"/>
    <col min="18" max="18" width="10.140625" bestFit="1" customWidth="1"/>
    <col min="19" max="19" width="9.85546875" bestFit="1" customWidth="1"/>
    <col min="20" max="20" width="20.85546875" bestFit="1" customWidth="1"/>
    <col min="21" max="23" width="9.85546875" bestFit="1" customWidth="1"/>
    <col min="24" max="24" width="17.42578125" bestFit="1" customWidth="1"/>
    <col min="25" max="25" width="13.42578125" bestFit="1" customWidth="1"/>
    <col min="26" max="26" width="20" bestFit="1" customWidth="1"/>
    <col min="27" max="27" width="19" bestFit="1" customWidth="1"/>
    <col min="28" max="29" width="19" customWidth="1"/>
    <col min="30" max="30" width="17.42578125" bestFit="1" customWidth="1"/>
    <col min="31" max="31" width="13.85546875" bestFit="1" customWidth="1"/>
    <col min="32" max="32" width="12.42578125" bestFit="1" customWidth="1"/>
    <col min="33" max="33" width="32.42578125" bestFit="1" customWidth="1"/>
    <col min="34" max="34" width="8.85546875" bestFit="1" customWidth="1"/>
    <col min="35" max="35" width="7.85546875" bestFit="1" customWidth="1"/>
    <col min="36" max="36" width="8.85546875" bestFit="1" customWidth="1"/>
    <col min="37" max="37" width="15.42578125" bestFit="1" customWidth="1"/>
    <col min="38" max="38" width="11.42578125" style="1" bestFit="1" customWidth="1"/>
    <col min="39" max="39" width="19.85546875" bestFit="1" customWidth="1"/>
    <col min="40" max="40" width="18.42578125" bestFit="1" customWidth="1"/>
    <col min="41" max="41" width="15.5703125" bestFit="1" customWidth="1"/>
    <col min="42" max="42" width="11.42578125" style="1" bestFit="1" customWidth="1"/>
    <col min="43" max="43" width="13.42578125" hidden="1" customWidth="1"/>
    <col min="44" max="44" width="17.42578125" hidden="1" customWidth="1"/>
    <col min="45" max="45" width="14.85546875" style="1" bestFit="1" customWidth="1"/>
    <col min="46" max="46" width="28.5703125" style="1" bestFit="1" customWidth="1"/>
  </cols>
  <sheetData>
    <row r="1" spans="2:46">
      <c r="F1" s="30" t="s">
        <v>5</v>
      </c>
      <c r="G1" s="38" t="s">
        <v>6</v>
      </c>
      <c r="H1" s="39"/>
      <c r="I1" s="40"/>
      <c r="J1" s="31" t="s">
        <v>7</v>
      </c>
      <c r="K1" s="31" t="s">
        <v>8</v>
      </c>
    </row>
    <row r="2" spans="2:46">
      <c r="F2" s="32" t="s">
        <v>9</v>
      </c>
      <c r="G2" s="33">
        <v>0</v>
      </c>
      <c r="H2" s="34" t="s">
        <v>10</v>
      </c>
      <c r="I2" s="35">
        <v>600000</v>
      </c>
      <c r="J2" s="36">
        <v>0.9</v>
      </c>
      <c r="K2" s="36">
        <f t="shared" ref="K2:K6" si="0">100%-J2</f>
        <v>9.9999999999999978E-2</v>
      </c>
    </row>
    <row r="3" spans="2:46">
      <c r="F3" s="32" t="s">
        <v>11</v>
      </c>
      <c r="G3" s="35">
        <f>+I2+1</f>
        <v>600001</v>
      </c>
      <c r="H3" s="34" t="s">
        <v>10</v>
      </c>
      <c r="I3" s="35">
        <v>1000000</v>
      </c>
      <c r="J3" s="36">
        <v>0.65</v>
      </c>
      <c r="K3" s="36">
        <f t="shared" si="0"/>
        <v>0.35</v>
      </c>
    </row>
    <row r="4" spans="2:46">
      <c r="B4" s="2" t="str">
        <f>'Top-Sheet'!B2</f>
        <v>Thapovan Info Systems Private Limited</v>
      </c>
      <c r="F4" s="32" t="s">
        <v>12</v>
      </c>
      <c r="G4" s="35">
        <f>+I3+1</f>
        <v>1000001</v>
      </c>
      <c r="H4" s="34" t="s">
        <v>10</v>
      </c>
      <c r="I4" s="35">
        <v>1500000</v>
      </c>
      <c r="J4" s="36">
        <v>0.6</v>
      </c>
      <c r="K4" s="36">
        <f t="shared" si="0"/>
        <v>0.4</v>
      </c>
    </row>
    <row r="5" spans="2:46">
      <c r="B5" s="2" t="str">
        <f>'Top-Sheet'!B3</f>
        <v>Salary Sheet - April 2024</v>
      </c>
      <c r="F5" s="32" t="s">
        <v>13</v>
      </c>
      <c r="G5" s="35">
        <f>+I4+1</f>
        <v>1500001</v>
      </c>
      <c r="H5" s="34" t="s">
        <v>10</v>
      </c>
      <c r="I5" s="37">
        <v>3500000</v>
      </c>
      <c r="J5" s="36">
        <v>0.55000000000000004</v>
      </c>
      <c r="K5" s="36">
        <f t="shared" si="0"/>
        <v>0.44999999999999996</v>
      </c>
      <c r="P5" s="19"/>
    </row>
    <row r="6" spans="2:46">
      <c r="B6" s="2" t="s">
        <v>14</v>
      </c>
      <c r="F6" s="32" t="s">
        <v>15</v>
      </c>
      <c r="G6" s="35">
        <f>+I5+1</f>
        <v>3500001</v>
      </c>
      <c r="H6" s="34" t="s">
        <v>16</v>
      </c>
      <c r="I6" s="34" t="s">
        <v>17</v>
      </c>
      <c r="J6" s="36">
        <v>0.5</v>
      </c>
      <c r="K6" s="36">
        <f t="shared" si="0"/>
        <v>0.5</v>
      </c>
    </row>
    <row r="7" spans="2:46">
      <c r="B7" s="2"/>
    </row>
    <row r="8" spans="2:46">
      <c r="E8" s="6">
        <v>45291</v>
      </c>
    </row>
    <row r="9" spans="2:46" s="2" customFormat="1">
      <c r="B9" s="7" t="s">
        <v>2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5</v>
      </c>
      <c r="J9" s="16" t="s">
        <v>24</v>
      </c>
      <c r="K9" s="7" t="s">
        <v>25</v>
      </c>
      <c r="L9" s="7" t="s">
        <v>26</v>
      </c>
      <c r="M9" s="7" t="s">
        <v>27</v>
      </c>
      <c r="N9" s="7" t="s">
        <v>7</v>
      </c>
      <c r="O9" s="7" t="s">
        <v>28</v>
      </c>
      <c r="P9" s="7" t="s">
        <v>29</v>
      </c>
      <c r="Q9" s="7" t="s">
        <v>8</v>
      </c>
      <c r="R9" s="7" t="s">
        <v>30</v>
      </c>
      <c r="S9" s="7" t="s">
        <v>31</v>
      </c>
      <c r="T9" s="7" t="s">
        <v>32</v>
      </c>
      <c r="U9" s="7" t="s">
        <v>33</v>
      </c>
      <c r="V9" s="7" t="s">
        <v>34</v>
      </c>
      <c r="W9" s="7" t="s">
        <v>35</v>
      </c>
      <c r="X9" s="7" t="s">
        <v>36</v>
      </c>
      <c r="Y9" s="7" t="s">
        <v>37</v>
      </c>
      <c r="Z9" s="7" t="s">
        <v>38</v>
      </c>
      <c r="AA9" s="7" t="s">
        <v>39</v>
      </c>
      <c r="AB9" s="7" t="s">
        <v>40</v>
      </c>
      <c r="AC9" s="7" t="s">
        <v>41</v>
      </c>
      <c r="AD9" s="7" t="s">
        <v>42</v>
      </c>
      <c r="AE9" s="7" t="s">
        <v>43</v>
      </c>
      <c r="AF9" s="7" t="s">
        <v>44</v>
      </c>
      <c r="AG9" s="7" t="s">
        <v>45</v>
      </c>
      <c r="AH9" s="7" t="s">
        <v>46</v>
      </c>
      <c r="AI9" s="7" t="s">
        <v>47</v>
      </c>
      <c r="AJ9" s="7" t="s">
        <v>48</v>
      </c>
      <c r="AK9" s="7" t="s">
        <v>49</v>
      </c>
      <c r="AL9" s="16" t="s">
        <v>50</v>
      </c>
      <c r="AM9" s="7" t="s">
        <v>51</v>
      </c>
      <c r="AN9" s="7" t="s">
        <v>52</v>
      </c>
      <c r="AO9" s="16" t="s">
        <v>53</v>
      </c>
      <c r="AP9" s="20"/>
      <c r="AQ9" s="2" t="s">
        <v>40</v>
      </c>
      <c r="AS9" s="20" t="s">
        <v>54</v>
      </c>
      <c r="AT9" s="29" t="s">
        <v>55</v>
      </c>
    </row>
    <row r="10" spans="2:46">
      <c r="B10" s="8">
        <v>1</v>
      </c>
      <c r="C10" s="8">
        <v>34</v>
      </c>
      <c r="D10" s="8" t="s">
        <v>56</v>
      </c>
      <c r="E10" s="17">
        <v>38019</v>
      </c>
      <c r="F10" s="17"/>
      <c r="G10" s="8">
        <v>30</v>
      </c>
      <c r="H10" s="8">
        <v>0</v>
      </c>
      <c r="I10" s="8" t="s">
        <v>13</v>
      </c>
      <c r="J10" s="28">
        <v>1916383.343956646</v>
      </c>
      <c r="K10" s="12">
        <f>J10</f>
        <v>1916383.343956646</v>
      </c>
      <c r="L10" s="12">
        <f>K10/12</f>
        <v>159698.61199638716</v>
      </c>
      <c r="M10" s="14"/>
      <c r="N10" s="18">
        <f>VLOOKUP(C10,'[1]Final Apprisal'!$B$2:$U$82,20,)</f>
        <v>0.51457975986277871</v>
      </c>
      <c r="O10" s="18">
        <f>1-N10</f>
        <v>0.48542024013722129</v>
      </c>
      <c r="P10" s="12">
        <f>L10*N10</f>
        <v>82177.67341151998</v>
      </c>
      <c r="Q10" s="12">
        <f>L10*O10</f>
        <v>77520.938584867181</v>
      </c>
      <c r="R10" s="12">
        <f>P10*0.5</f>
        <v>41088.83670575999</v>
      </c>
      <c r="S10" s="12">
        <f>R10*0.5</f>
        <v>20544.418352879995</v>
      </c>
      <c r="T10" s="12">
        <f>L10-SUM(AF10:AH10)</f>
        <v>16768.993511256907</v>
      </c>
      <c r="U10" s="12">
        <f>Q10*0.5</f>
        <v>38760.46929243359</v>
      </c>
      <c r="V10" s="12">
        <f>Q10*0.25</f>
        <v>19380.234646216795</v>
      </c>
      <c r="W10" s="12">
        <f>Q10*0.25</f>
        <v>19380.234646216795</v>
      </c>
      <c r="X10" s="12">
        <v>0</v>
      </c>
      <c r="Y10" s="12">
        <v>0</v>
      </c>
      <c r="Z10" s="12">
        <v>0</v>
      </c>
      <c r="AA10" s="12">
        <v>0</v>
      </c>
      <c r="AB10" s="12">
        <f>AR10</f>
        <v>14381.092847015998</v>
      </c>
      <c r="AC10" s="12">
        <v>0</v>
      </c>
      <c r="AD10" s="12">
        <f>SUM(R10:Z10)</f>
        <v>155923.18715476408</v>
      </c>
      <c r="AE10" s="12">
        <v>15000</v>
      </c>
      <c r="AF10" s="12">
        <f>P.4!K8</f>
        <v>1975.4248416230764</v>
      </c>
      <c r="AG10" s="12">
        <f>SUM(R10,S10,U10,V10,W10)</f>
        <v>139154.19364350717</v>
      </c>
      <c r="AH10" s="12">
        <f>AE10*12%</f>
        <v>1800</v>
      </c>
      <c r="AI10" s="12">
        <v>0</v>
      </c>
      <c r="AJ10" s="12">
        <f>2500/12</f>
        <v>208.33333333333334</v>
      </c>
      <c r="AK10" s="12">
        <f>P.5!J8</f>
        <v>0</v>
      </c>
      <c r="AL10" s="12">
        <f>P.3!O8</f>
        <v>21800</v>
      </c>
      <c r="AM10" s="12">
        <v>0</v>
      </c>
      <c r="AN10" s="12">
        <f>L10*H10/G10</f>
        <v>0</v>
      </c>
      <c r="AO10" s="12">
        <f t="shared" ref="AO10:AO11" si="1">ROUNDUP(SUM(AA10:AD10)-SUM(AH10:AN10),0)</f>
        <v>146496</v>
      </c>
      <c r="AP10" s="1">
        <f>AD10-AN10</f>
        <v>155923.18715476408</v>
      </c>
      <c r="AQ10" s="21">
        <v>7</v>
      </c>
      <c r="AR10" s="4">
        <f>AQ10/30*(R10+S10)</f>
        <v>14381.092847015998</v>
      </c>
      <c r="AS10" s="1">
        <v>140257</v>
      </c>
      <c r="AT10" s="1">
        <f>AO10-AS10</f>
        <v>6239</v>
      </c>
    </row>
    <row r="11" spans="2:46">
      <c r="B11" s="8">
        <f>B10+1</f>
        <v>2</v>
      </c>
      <c r="C11" s="8">
        <v>38</v>
      </c>
      <c r="D11" s="8" t="s">
        <v>57</v>
      </c>
      <c r="E11" s="17">
        <v>39426</v>
      </c>
      <c r="F11" s="17"/>
      <c r="G11" s="8">
        <v>30</v>
      </c>
      <c r="H11" s="8">
        <v>0</v>
      </c>
      <c r="I11" s="8" t="s">
        <v>13</v>
      </c>
      <c r="J11" s="28">
        <v>1605000</v>
      </c>
      <c r="K11" s="12">
        <f t="shared" ref="K11" si="2">J11</f>
        <v>1605000</v>
      </c>
      <c r="L11" s="12">
        <f t="shared" ref="L11" si="3">K11/12</f>
        <v>133750</v>
      </c>
      <c r="M11" s="14"/>
      <c r="N11" s="18">
        <f>VLOOKUP(C11,'[1]Final Apprisal'!$B$2:$U$82,20,)</f>
        <v>0.38329999999999997</v>
      </c>
      <c r="O11" s="18">
        <f t="shared" ref="O11" si="4">1-N11</f>
        <v>0.61670000000000003</v>
      </c>
      <c r="P11" s="12">
        <f t="shared" ref="P11" si="5">L11*N11</f>
        <v>51266.375</v>
      </c>
      <c r="Q11" s="12">
        <f t="shared" ref="Q11" si="6">L11*O11</f>
        <v>82483.625</v>
      </c>
      <c r="R11" s="12">
        <f t="shared" ref="R11" si="7">P11*0.5</f>
        <v>25633.1875</v>
      </c>
      <c r="S11" s="12">
        <f t="shared" ref="S11" si="8">R11*0.5</f>
        <v>12816.59375</v>
      </c>
      <c r="T11" s="12">
        <f t="shared" ref="T11" si="9">L11-SUM(AF11:AH11)</f>
        <v>9784.2289663461561</v>
      </c>
      <c r="U11" s="12">
        <f t="shared" ref="U11" si="10">Q11*0.5</f>
        <v>41241.8125</v>
      </c>
      <c r="V11" s="12">
        <f t="shared" ref="V11" si="11">Q11*0.25</f>
        <v>20620.90625</v>
      </c>
      <c r="W11" s="12">
        <f t="shared" ref="W11" si="12">Q11*0.25</f>
        <v>20620.90625</v>
      </c>
      <c r="X11" s="12">
        <v>0</v>
      </c>
      <c r="Y11" s="12">
        <v>0</v>
      </c>
      <c r="Z11" s="12">
        <v>0</v>
      </c>
      <c r="AA11" s="12">
        <v>0</v>
      </c>
      <c r="AB11" s="12">
        <f t="shared" ref="AB11" si="13">AR11</f>
        <v>8971.6156250000004</v>
      </c>
      <c r="AC11" s="12">
        <v>0</v>
      </c>
      <c r="AD11" s="12">
        <f t="shared" ref="AD11" si="14">SUM(R11:Z11)</f>
        <v>130717.63521634616</v>
      </c>
      <c r="AE11" s="12">
        <v>15000</v>
      </c>
      <c r="AF11" s="12">
        <f>P.4!K9</f>
        <v>1232.3647836538462</v>
      </c>
      <c r="AG11" s="12">
        <f t="shared" ref="AG11" si="15">SUM(R11,S11,U11,V11,W11)</f>
        <v>120933.40625</v>
      </c>
      <c r="AH11" s="12">
        <f t="shared" ref="AH11" si="16">AE11*12%</f>
        <v>1800</v>
      </c>
      <c r="AI11" s="12">
        <v>0</v>
      </c>
      <c r="AJ11" s="12">
        <f t="shared" ref="AJ11" si="17">2500/12</f>
        <v>208.33333333333334</v>
      </c>
      <c r="AK11" s="12">
        <f>P.5!J9</f>
        <v>0</v>
      </c>
      <c r="AL11" s="12">
        <f>P.3!O9</f>
        <v>13800</v>
      </c>
      <c r="AM11" s="12">
        <v>0</v>
      </c>
      <c r="AN11" s="12">
        <f t="shared" ref="AN11" si="18">L11*H11/G11</f>
        <v>0</v>
      </c>
      <c r="AO11" s="12">
        <f t="shared" si="1"/>
        <v>123881</v>
      </c>
      <c r="AP11" s="1">
        <f t="shared" ref="AP11" si="19">AD11-AN11</f>
        <v>130717.63521634616</v>
      </c>
      <c r="AQ11" s="21">
        <v>7</v>
      </c>
      <c r="AR11" s="4">
        <f>AQ11/30*(R11+S11)</f>
        <v>8971.6156250000004</v>
      </c>
      <c r="AS11" s="1">
        <v>123881</v>
      </c>
      <c r="AT11" s="1">
        <f t="shared" ref="AT11" si="20">AO11-AS11</f>
        <v>0</v>
      </c>
    </row>
  </sheetData>
  <autoFilter ref="B9:AT11" xr:uid="{00000000-0001-0000-0100-000000000000}"/>
  <mergeCells count="1">
    <mergeCell ref="G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T19"/>
  <sheetViews>
    <sheetView showGridLines="0" workbookViewId="0">
      <selection activeCell="G10" sqref="G10:G90"/>
    </sheetView>
  </sheetViews>
  <sheetFormatPr defaultRowHeight="14.25"/>
  <cols>
    <col min="1" max="1" width="3.42578125" customWidth="1"/>
    <col min="2" max="2" width="10.85546875" bestFit="1" customWidth="1"/>
    <col min="3" max="3" width="19.42578125" bestFit="1" customWidth="1"/>
    <col min="4" max="4" width="21.42578125" bestFit="1" customWidth="1"/>
    <col min="5" max="5" width="24.42578125" customWidth="1"/>
    <col min="6" max="6" width="25" bestFit="1" customWidth="1"/>
    <col min="7" max="7" width="12.42578125" style="5" bestFit="1" customWidth="1"/>
    <col min="8" max="8" width="17.140625" style="5" bestFit="1" customWidth="1"/>
    <col min="9" max="9" width="18.5703125" bestFit="1" customWidth="1"/>
    <col min="10" max="10" width="9.42578125" style="5" bestFit="1" customWidth="1"/>
    <col min="11" max="11" width="11.5703125" style="5" bestFit="1" customWidth="1"/>
    <col min="12" max="12" width="89.42578125" customWidth="1"/>
    <col min="43" max="44" width="0" hidden="1" customWidth="1"/>
  </cols>
  <sheetData>
    <row r="2" spans="2:46">
      <c r="B2" s="2" t="str">
        <f>P.1!B4</f>
        <v>Thapovan Info Systems Private Limited</v>
      </c>
      <c r="C2" s="2"/>
      <c r="D2" s="2"/>
    </row>
    <row r="3" spans="2:46">
      <c r="B3" s="2" t="str">
        <f>P.1!B5</f>
        <v>Salary Sheet - April 2024</v>
      </c>
      <c r="C3" s="2"/>
      <c r="D3" s="2"/>
    </row>
    <row r="4" spans="2:46">
      <c r="B4" s="2" t="s">
        <v>58</v>
      </c>
      <c r="C4" s="2"/>
      <c r="D4" s="2"/>
    </row>
    <row r="5" spans="2:46">
      <c r="B5" s="2" t="s">
        <v>59</v>
      </c>
      <c r="C5" s="2"/>
      <c r="D5" s="2"/>
    </row>
    <row r="7" spans="2:46">
      <c r="B7" s="7" t="s">
        <v>2</v>
      </c>
      <c r="C7" s="7" t="s">
        <v>60</v>
      </c>
      <c r="D7" s="7" t="s">
        <v>18</v>
      </c>
      <c r="E7" s="7" t="s">
        <v>19</v>
      </c>
      <c r="F7" s="7" t="s">
        <v>61</v>
      </c>
      <c r="G7" s="7" t="s">
        <v>62</v>
      </c>
      <c r="H7" s="7" t="s">
        <v>63</v>
      </c>
      <c r="I7" s="7" t="s">
        <v>64</v>
      </c>
      <c r="J7" s="7" t="s">
        <v>65</v>
      </c>
      <c r="K7" s="7" t="s">
        <v>66</v>
      </c>
      <c r="L7" s="7" t="s">
        <v>67</v>
      </c>
      <c r="AT7" s="5"/>
    </row>
    <row r="8" spans="2:46">
      <c r="B8" s="8">
        <v>1</v>
      </c>
      <c r="C8" s="8" t="s">
        <v>68</v>
      </c>
      <c r="D8" s="8">
        <f>P.1!C10</f>
        <v>34</v>
      </c>
      <c r="E8" s="8" t="str">
        <f>P.1!D10</f>
        <v>Prabu A</v>
      </c>
      <c r="F8" s="23">
        <v>50100172023950</v>
      </c>
      <c r="G8" s="8" t="s">
        <v>69</v>
      </c>
      <c r="H8" s="8">
        <v>11</v>
      </c>
      <c r="I8" s="10">
        <f>P.1!AT10</f>
        <v>6239</v>
      </c>
      <c r="J8" s="15" t="str">
        <f ca="1">TEXT(TODAY(),"yyyymmdd")</f>
        <v>20250717</v>
      </c>
      <c r="K8" s="8" t="s">
        <v>70</v>
      </c>
      <c r="L8" s="14" t="str">
        <f ca="1">C8&amp;K8&amp;E8&amp;K8&amp;F8&amp;K8&amp;G8&amp;K8&amp;H8&amp;K8&amp;I8&amp;K8&amp;J8</f>
        <v>Salary April 2024,Prabu A,50100172023950,HDFC0000206,11,6239,20250717</v>
      </c>
    </row>
    <row r="9" spans="2:46">
      <c r="B9" s="8">
        <f>B8+1</f>
        <v>2</v>
      </c>
      <c r="C9" s="8" t="s">
        <v>68</v>
      </c>
      <c r="D9" s="8">
        <f>P.1!C11</f>
        <v>38</v>
      </c>
      <c r="E9" s="8" t="str">
        <f>P.1!D11</f>
        <v>Jeyanthi J</v>
      </c>
      <c r="F9" s="23">
        <v>50100504907150</v>
      </c>
      <c r="G9" s="8" t="s">
        <v>71</v>
      </c>
      <c r="H9" s="8">
        <v>11</v>
      </c>
      <c r="I9" s="10">
        <f>P.1!AT11</f>
        <v>0</v>
      </c>
      <c r="J9" s="15" t="str">
        <f ca="1">TEXT(TODAY(),"yyyymmdd")</f>
        <v>20250717</v>
      </c>
      <c r="K9" s="8" t="s">
        <v>70</v>
      </c>
      <c r="L9" s="14" t="str">
        <f ca="1">C9&amp;K9&amp;E9&amp;K9&amp;F9&amp;K9&amp;G9&amp;K9&amp;H9&amp;K9&amp;I9&amp;K9&amp;J9</f>
        <v>Salary April 2024,Jeyanthi J,50100504907150,HDFC0000260,11,0,20250717</v>
      </c>
    </row>
    <row r="10" spans="2:46">
      <c r="F10" s="27"/>
    </row>
    <row r="11" spans="2:46">
      <c r="F11" s="25"/>
    </row>
    <row r="12" spans="2:46" ht="16.350000000000001">
      <c r="F12" s="26"/>
    </row>
    <row r="13" spans="2:46" ht="16.350000000000001">
      <c r="F13" s="26"/>
    </row>
    <row r="14" spans="2:46" ht="16.350000000000001">
      <c r="F14" s="24"/>
    </row>
    <row r="15" spans="2:46" ht="16.350000000000001">
      <c r="F15" s="24"/>
    </row>
    <row r="16" spans="2:46" ht="16.350000000000001">
      <c r="F16" s="24"/>
    </row>
    <row r="17" spans="6:6" ht="16.350000000000001">
      <c r="F17" s="24"/>
    </row>
    <row r="18" spans="6:6" ht="16.350000000000001">
      <c r="F18" s="24"/>
    </row>
    <row r="19" spans="6:6" ht="16.350000000000001">
      <c r="F19" s="24"/>
    </row>
  </sheetData>
  <autoFilter ref="B7:L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H9"/>
  <sheetViews>
    <sheetView showGridLines="0" zoomScaleNormal="100" workbookViewId="0">
      <pane xSplit="4" ySplit="7" topLeftCell="E8" activePane="bottomRight" state="frozen"/>
      <selection pane="bottomRight" activeCell="E10" sqref="E10:E90"/>
      <selection pane="bottomLeft" activeCell="A8" sqref="A8"/>
      <selection pane="topRight" activeCell="E1" sqref="E1"/>
    </sheetView>
  </sheetViews>
  <sheetFormatPr defaultRowHeight="14.25"/>
  <cols>
    <col min="1" max="1" width="3.42578125" customWidth="1"/>
    <col min="2" max="2" width="10.85546875" bestFit="1" customWidth="1"/>
    <col min="3" max="4" width="21.42578125" bestFit="1" customWidth="1"/>
    <col min="5" max="5" width="17.42578125" bestFit="1" customWidth="1"/>
    <col min="6" max="6" width="25.42578125" bestFit="1" customWidth="1"/>
    <col min="7" max="7" width="22.85546875" bestFit="1" customWidth="1"/>
    <col min="8" max="8" width="18.5703125" bestFit="1" customWidth="1"/>
    <col min="9" max="9" width="22.85546875" bestFit="1" customWidth="1"/>
    <col min="10" max="10" width="11.42578125" bestFit="1" customWidth="1"/>
    <col min="11" max="11" width="15.42578125" bestFit="1" customWidth="1"/>
    <col min="12" max="12" width="9.85546875" bestFit="1" customWidth="1"/>
    <col min="13" max="13" width="20.42578125" bestFit="1" customWidth="1"/>
    <col min="14" max="14" width="18.42578125" bestFit="1" customWidth="1"/>
    <col min="15" max="15" width="11.140625" bestFit="1" customWidth="1"/>
    <col min="16" max="16" width="11.85546875" bestFit="1" customWidth="1"/>
    <col min="17" max="17" width="10.85546875" bestFit="1" customWidth="1"/>
    <col min="18" max="18" width="10.42578125" bestFit="1" customWidth="1"/>
    <col min="19" max="22" width="11.42578125" bestFit="1" customWidth="1"/>
    <col min="23" max="23" width="11.140625" bestFit="1" customWidth="1"/>
    <col min="24" max="24" width="10.85546875" bestFit="1" customWidth="1"/>
    <col min="25" max="25" width="11" bestFit="1" customWidth="1"/>
    <col min="26" max="26" width="11.42578125" bestFit="1" customWidth="1"/>
    <col min="27" max="27" width="22.42578125" bestFit="1" customWidth="1"/>
    <col min="28" max="28" width="26.140625" bestFit="1" customWidth="1"/>
    <col min="29" max="29" width="9.85546875" bestFit="1" customWidth="1"/>
    <col min="30" max="30" width="11.42578125" bestFit="1" customWidth="1"/>
    <col min="31" max="31" width="12.42578125" bestFit="1" customWidth="1"/>
    <col min="32" max="32" width="13.5703125" bestFit="1" customWidth="1"/>
    <col min="33" max="33" width="9.85546875" bestFit="1" customWidth="1"/>
    <col min="34" max="34" width="12" bestFit="1" customWidth="1"/>
  </cols>
  <sheetData>
    <row r="2" spans="2:34">
      <c r="B2" s="2" t="str">
        <f>P.1!B4</f>
        <v>Thapovan Info Systems Private Limited</v>
      </c>
    </row>
    <row r="3" spans="2:34">
      <c r="B3" s="2" t="str">
        <f>P.1!B5</f>
        <v>Salary Sheet - April 2024</v>
      </c>
      <c r="L3" s="19"/>
    </row>
    <row r="4" spans="2:34">
      <c r="B4" s="2" t="s">
        <v>72</v>
      </c>
    </row>
    <row r="5" spans="2:34">
      <c r="B5" s="2" t="s">
        <v>73</v>
      </c>
      <c r="H5" s="19"/>
      <c r="I5" s="19"/>
      <c r="K5" s="19"/>
      <c r="M5" s="19"/>
      <c r="U5" s="4"/>
    </row>
    <row r="7" spans="2:34" s="3" customFormat="1">
      <c r="B7" s="7" t="s">
        <v>2</v>
      </c>
      <c r="C7" s="7" t="s">
        <v>18</v>
      </c>
      <c r="D7" s="7" t="s">
        <v>19</v>
      </c>
      <c r="E7" s="7" t="s">
        <v>42</v>
      </c>
      <c r="F7" s="7" t="s">
        <v>74</v>
      </c>
      <c r="G7" s="7" t="s">
        <v>75</v>
      </c>
      <c r="H7" s="7" t="s">
        <v>76</v>
      </c>
      <c r="I7" s="7" t="s">
        <v>77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11">
        <v>45383</v>
      </c>
      <c r="P7" s="11">
        <v>45413</v>
      </c>
      <c r="Q7" s="11">
        <v>45444</v>
      </c>
      <c r="R7" s="11">
        <v>45474</v>
      </c>
      <c r="S7" s="11">
        <v>45505</v>
      </c>
      <c r="T7" s="11">
        <v>45536</v>
      </c>
      <c r="U7" s="11">
        <v>45566</v>
      </c>
      <c r="V7" s="11">
        <v>45597</v>
      </c>
      <c r="W7" s="11">
        <v>45627</v>
      </c>
      <c r="X7" s="11">
        <v>45658</v>
      </c>
      <c r="Y7" s="11">
        <v>45689</v>
      </c>
      <c r="Z7" s="11">
        <v>45717</v>
      </c>
      <c r="AA7" s="7" t="s">
        <v>83</v>
      </c>
      <c r="AB7" s="7" t="s">
        <v>84</v>
      </c>
    </row>
    <row r="8" spans="2:34">
      <c r="B8" s="8">
        <v>1</v>
      </c>
      <c r="C8" s="8">
        <f>P.1!C10</f>
        <v>34</v>
      </c>
      <c r="D8" s="8" t="str">
        <f>P.1!D10</f>
        <v>Prabu A</v>
      </c>
      <c r="E8" s="10">
        <f>P.1!AD10*12</f>
        <v>1871078.2458571689</v>
      </c>
      <c r="F8" s="12">
        <f>P.1!AR10</f>
        <v>14381.092847015998</v>
      </c>
      <c r="G8" s="12">
        <v>50000</v>
      </c>
      <c r="H8" s="10">
        <f>SUM(E8:F8)-G8</f>
        <v>1835459.3387041849</v>
      </c>
      <c r="I8" s="13">
        <f>IF(H8&gt;1500000,((H8-1500000)*30%+150000),(IF(H8&gt;1200000,((H8-1200000)*20%+90000),IF(H8&gt;900000,((H8-900000)*15%+45000),IF(H8&gt;600000,((H8-600000)*10%+15000),IF(H8&gt;300000,(H8-300000)*5%,0))))))</f>
        <v>250637.80161125545</v>
      </c>
      <c r="J8" s="12">
        <f>IF(H8&gt;700000,0,I8)</f>
        <v>0</v>
      </c>
      <c r="K8" s="13">
        <f>I8-J8</f>
        <v>250637.80161125545</v>
      </c>
      <c r="L8" s="10">
        <f>K8*4%</f>
        <v>10025.512064450219</v>
      </c>
      <c r="M8" s="10">
        <f>SUM(K8:L8)</f>
        <v>260663.31367570566</v>
      </c>
      <c r="N8" s="13">
        <f>CEILING(M8/12,100)</f>
        <v>21800</v>
      </c>
      <c r="O8" s="13">
        <f>N8</f>
        <v>21800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>
        <f t="shared" ref="AA8:AA9" si="0">SUM(O8:Z8)</f>
        <v>21800</v>
      </c>
      <c r="AB8" s="12">
        <f t="shared" ref="AB8:AB9" si="1">N8*12-AA8</f>
        <v>239800</v>
      </c>
      <c r="AC8" s="4"/>
      <c r="AD8" s="1"/>
      <c r="AE8" s="4"/>
      <c r="AF8" s="4"/>
      <c r="AG8" s="4"/>
      <c r="AH8" s="4"/>
    </row>
    <row r="9" spans="2:34">
      <c r="B9" s="8">
        <f>B8+1</f>
        <v>2</v>
      </c>
      <c r="C9" s="8">
        <f>P.1!C11</f>
        <v>38</v>
      </c>
      <c r="D9" s="8" t="str">
        <f>P.1!D11</f>
        <v>Jeyanthi J</v>
      </c>
      <c r="E9" s="10">
        <f>P.1!AD11*12</f>
        <v>1568611.622596154</v>
      </c>
      <c r="F9" s="12">
        <f>P.1!AR11</f>
        <v>8971.6156250000004</v>
      </c>
      <c r="G9" s="12">
        <v>50000</v>
      </c>
      <c r="H9" s="10">
        <f t="shared" ref="H9" si="2">SUM(E9:F9)-G9</f>
        <v>1527583.2382211541</v>
      </c>
      <c r="I9" s="13">
        <f t="shared" ref="I9" si="3">IF(H9&gt;1500000,((H9-1500000)*30%+150000),(IF(H9&gt;1200000,((H9-1200000)*20%+90000),IF(H9&gt;900000,((H9-900000)*15%+45000),IF(H9&gt;600000,((H9-600000)*10%+15000),IF(H9&gt;300000,(H9-300000)*5%,0))))))</f>
        <v>158274.97146634624</v>
      </c>
      <c r="J9" s="12">
        <f t="shared" ref="J9" si="4">IF(H9&gt;700000,0,I9)</f>
        <v>0</v>
      </c>
      <c r="K9" s="13">
        <f t="shared" ref="K9" si="5">I9-J9</f>
        <v>158274.97146634624</v>
      </c>
      <c r="L9" s="10">
        <f t="shared" ref="L9" si="6">K9*4%</f>
        <v>6330.9988586538493</v>
      </c>
      <c r="M9" s="10">
        <f t="shared" ref="M9" si="7">SUM(K9:L9)</f>
        <v>164605.97032500009</v>
      </c>
      <c r="N9" s="13">
        <f>CEILING(M9/12,100)</f>
        <v>13800</v>
      </c>
      <c r="O9" s="13">
        <f t="shared" ref="O9" si="8">N9</f>
        <v>13800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>
        <f t="shared" si="0"/>
        <v>13800</v>
      </c>
      <c r="AB9" s="12">
        <f t="shared" si="1"/>
        <v>151800</v>
      </c>
      <c r="AC9" s="4"/>
      <c r="AD9" s="1"/>
      <c r="AE9" s="4"/>
      <c r="AF9" s="4"/>
      <c r="AG9" s="4"/>
      <c r="AH9" s="4"/>
    </row>
  </sheetData>
  <autoFilter ref="B7:AB9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9"/>
  <sheetViews>
    <sheetView showGridLines="0" workbookViewId="0">
      <pane xSplit="4" ySplit="7" topLeftCell="E8" activePane="bottomRight" state="frozen"/>
      <selection pane="bottomRight" activeCell="K10" sqref="K10:K90"/>
      <selection pane="bottomLeft" activeCell="A8" sqref="A8"/>
      <selection pane="topRight" activeCell="E1" sqref="E1"/>
    </sheetView>
  </sheetViews>
  <sheetFormatPr defaultRowHeight="14.25"/>
  <cols>
    <col min="1" max="1" width="3.42578125" customWidth="1"/>
    <col min="2" max="2" width="10.85546875" bestFit="1" customWidth="1"/>
    <col min="3" max="3" width="21.42578125" bestFit="1" customWidth="1"/>
    <col min="4" max="4" width="21.5703125" customWidth="1"/>
    <col min="5" max="5" width="15.85546875" bestFit="1" customWidth="1"/>
    <col min="6" max="6" width="28.42578125" bestFit="1" customWidth="1"/>
    <col min="7" max="7" width="22.42578125" bestFit="1" customWidth="1"/>
    <col min="8" max="8" width="19" bestFit="1" customWidth="1"/>
    <col min="9" max="9" width="30.5703125" bestFit="1" customWidth="1"/>
    <col min="10" max="10" width="27.140625" bestFit="1" customWidth="1"/>
    <col min="11" max="11" width="27.42578125" bestFit="1" customWidth="1"/>
    <col min="12" max="12" width="9.85546875" bestFit="1" customWidth="1"/>
  </cols>
  <sheetData>
    <row r="2" spans="2:11">
      <c r="B2" s="2" t="str">
        <f>P.1!B4</f>
        <v>Thapovan Info Systems Private Limited</v>
      </c>
      <c r="F2" s="6">
        <v>45383</v>
      </c>
    </row>
    <row r="3" spans="2:11">
      <c r="B3" s="2" t="str">
        <f>P.1!B5</f>
        <v>Salary Sheet - April 2024</v>
      </c>
    </row>
    <row r="4" spans="2:11">
      <c r="B4" s="2" t="s">
        <v>85</v>
      </c>
    </row>
    <row r="5" spans="2:11">
      <c r="B5" s="2" t="s">
        <v>86</v>
      </c>
    </row>
    <row r="7" spans="2:11">
      <c r="B7" s="7" t="s">
        <v>2</v>
      </c>
      <c r="C7" s="7" t="s">
        <v>18</v>
      </c>
      <c r="D7" s="7" t="s">
        <v>19</v>
      </c>
      <c r="E7" s="7" t="s">
        <v>20</v>
      </c>
      <c r="F7" s="7" t="s">
        <v>87</v>
      </c>
      <c r="G7" s="7" t="s">
        <v>88</v>
      </c>
      <c r="H7" s="7" t="s">
        <v>89</v>
      </c>
      <c r="I7" s="7" t="s">
        <v>90</v>
      </c>
      <c r="J7" s="7" t="s">
        <v>91</v>
      </c>
      <c r="K7" s="7" t="s">
        <v>92</v>
      </c>
    </row>
    <row r="8" spans="2:11">
      <c r="B8" s="8">
        <v>1</v>
      </c>
      <c r="C8" s="8">
        <f>P.1!C10</f>
        <v>34</v>
      </c>
      <c r="D8" s="8" t="str">
        <f>P.1!D10</f>
        <v>Prabu A</v>
      </c>
      <c r="E8" s="9">
        <f>P.1!E10</f>
        <v>38019</v>
      </c>
      <c r="F8" s="8">
        <f>ROUND(($F$2-E8)/365.25,0)</f>
        <v>20</v>
      </c>
      <c r="G8" s="10">
        <f>P.1!R10</f>
        <v>41088.83670575999</v>
      </c>
      <c r="H8" s="10">
        <v>41088.83670575999</v>
      </c>
      <c r="I8" s="10">
        <f>G8*15/26/12</f>
        <v>1975.4248416230764</v>
      </c>
      <c r="J8" s="10">
        <f>(G8-H8)*F8*15/26/12</f>
        <v>0</v>
      </c>
      <c r="K8" s="10">
        <f>SUM(I8:J8)</f>
        <v>1975.4248416230764</v>
      </c>
    </row>
    <row r="9" spans="2:11">
      <c r="B9" s="8">
        <f>B8+1</f>
        <v>2</v>
      </c>
      <c r="C9" s="8">
        <f>P.1!C11</f>
        <v>38</v>
      </c>
      <c r="D9" s="8" t="str">
        <f>P.1!D11</f>
        <v>Jeyanthi J</v>
      </c>
      <c r="E9" s="9">
        <f>P.1!E11</f>
        <v>39426</v>
      </c>
      <c r="F9" s="8">
        <f t="shared" ref="F9" si="0">ROUND(($F$2-E9)/365.25,0)</f>
        <v>16</v>
      </c>
      <c r="G9" s="10">
        <f>P.1!R11</f>
        <v>25633.1875</v>
      </c>
      <c r="H9" s="10">
        <v>25633.1875</v>
      </c>
      <c r="I9" s="10">
        <f>G9*15/26/12</f>
        <v>1232.3647836538462</v>
      </c>
      <c r="J9" s="10">
        <f>(G9-H9)*F9*15/26/12</f>
        <v>0</v>
      </c>
      <c r="K9" s="10">
        <f>SUM(I9:J9)</f>
        <v>1232.3647836538462</v>
      </c>
    </row>
  </sheetData>
  <autoFilter ref="B7:K9" xr:uid="{00000000-0009-0000-0000-000004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V9"/>
  <sheetViews>
    <sheetView showGridLines="0" workbookViewId="0">
      <pane xSplit="4" ySplit="7" topLeftCell="E8" activePane="bottomRight" state="frozen"/>
      <selection pane="bottomRight" activeCell="B10" sqref="B10:B106"/>
      <selection pane="bottomLeft" activeCell="A8" sqref="A8"/>
      <selection pane="topRight" activeCell="E1" sqref="E1"/>
    </sheetView>
  </sheetViews>
  <sheetFormatPr defaultRowHeight="14.25"/>
  <cols>
    <col min="1" max="1" width="3.42578125" customWidth="1"/>
    <col min="2" max="2" width="10.85546875" bestFit="1" customWidth="1"/>
    <col min="3" max="3" width="21.42578125" bestFit="1" customWidth="1"/>
    <col min="4" max="4" width="20.5703125" bestFit="1" customWidth="1"/>
    <col min="5" max="5" width="25.140625" style="1" bestFit="1" customWidth="1"/>
    <col min="6" max="6" width="22.42578125" style="5" bestFit="1" customWidth="1"/>
    <col min="7" max="7" width="32.42578125" bestFit="1" customWidth="1"/>
    <col min="8" max="8" width="23.42578125" style="1" bestFit="1" customWidth="1"/>
    <col min="9" max="9" width="35.42578125" style="1" bestFit="1" customWidth="1"/>
    <col min="10" max="10" width="11.140625" style="1" bestFit="1" customWidth="1"/>
    <col min="11" max="11" width="11.85546875" style="1" bestFit="1" customWidth="1"/>
    <col min="12" max="12" width="10.85546875" style="1" bestFit="1" customWidth="1"/>
    <col min="13" max="13" width="10.42578125" style="1" bestFit="1" customWidth="1"/>
    <col min="14" max="14" width="11.42578125" style="1" bestFit="1" customWidth="1"/>
    <col min="15" max="15" width="11.140625" style="1" bestFit="1" customWidth="1"/>
    <col min="16" max="16" width="11" style="1" bestFit="1" customWidth="1"/>
    <col min="17" max="17" width="11.42578125" style="1" bestFit="1" customWidth="1"/>
    <col min="18" max="18" width="11.140625" style="1" bestFit="1" customWidth="1"/>
    <col min="19" max="19" width="10.85546875" style="1" bestFit="1" customWidth="1"/>
    <col min="20" max="20" width="11" style="1" bestFit="1" customWidth="1"/>
    <col min="21" max="21" width="11.42578125" style="1" bestFit="1" customWidth="1"/>
    <col min="22" max="22" width="34.42578125" style="1" bestFit="1" customWidth="1"/>
  </cols>
  <sheetData>
    <row r="2" spans="2:22">
      <c r="B2" s="2" t="str">
        <f>P.1!B4</f>
        <v>Thapovan Info Systems Private Limited</v>
      </c>
    </row>
    <row r="3" spans="2:22">
      <c r="B3" s="2" t="str">
        <f>P.1!B5</f>
        <v>Salary Sheet - April 2024</v>
      </c>
    </row>
    <row r="4" spans="2:22">
      <c r="B4" s="2" t="s">
        <v>93</v>
      </c>
    </row>
    <row r="5" spans="2:22">
      <c r="B5" s="2" t="s">
        <v>94</v>
      </c>
    </row>
    <row r="7" spans="2:22" s="2" customFormat="1">
      <c r="B7" s="7" t="s">
        <v>2</v>
      </c>
      <c r="C7" s="7" t="s">
        <v>18</v>
      </c>
      <c r="D7" s="7" t="s">
        <v>19</v>
      </c>
      <c r="E7" s="16" t="s">
        <v>95</v>
      </c>
      <c r="F7" s="7" t="s">
        <v>96</v>
      </c>
      <c r="G7" s="7" t="s">
        <v>97</v>
      </c>
      <c r="H7" s="16" t="s">
        <v>98</v>
      </c>
      <c r="I7" s="16" t="s">
        <v>99</v>
      </c>
      <c r="J7" s="11">
        <v>45383</v>
      </c>
      <c r="K7" s="11">
        <v>45413</v>
      </c>
      <c r="L7" s="11">
        <v>45444</v>
      </c>
      <c r="M7" s="11">
        <v>45474</v>
      </c>
      <c r="N7" s="11">
        <v>45505</v>
      </c>
      <c r="O7" s="11">
        <v>45536</v>
      </c>
      <c r="P7" s="11">
        <v>45566</v>
      </c>
      <c r="Q7" s="11">
        <v>45597</v>
      </c>
      <c r="R7" s="11">
        <v>45627</v>
      </c>
      <c r="S7" s="11">
        <v>45658</v>
      </c>
      <c r="T7" s="11">
        <v>45689</v>
      </c>
      <c r="U7" s="11">
        <v>45717</v>
      </c>
      <c r="V7" s="16" t="s">
        <v>100</v>
      </c>
    </row>
    <row r="8" spans="2:22">
      <c r="B8" s="8">
        <v>1</v>
      </c>
      <c r="C8" s="8">
        <f>P.1!C10</f>
        <v>34</v>
      </c>
      <c r="D8" s="8" t="str">
        <f>P.1!D10</f>
        <v>Prabu A</v>
      </c>
      <c r="E8" s="12"/>
      <c r="F8" s="8"/>
      <c r="G8" s="14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2:22">
      <c r="B9" s="8">
        <f>B8+1</f>
        <v>2</v>
      </c>
      <c r="C9" s="8">
        <f>P.1!C11</f>
        <v>38</v>
      </c>
      <c r="D9" s="8" t="str">
        <f>P.1!D11</f>
        <v>Jeyanthi J</v>
      </c>
      <c r="E9" s="12"/>
      <c r="F9" s="8"/>
      <c r="G9" s="14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</sheetData>
  <autoFilter ref="B7:V9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Srikrishnan Damodharan</dc:creator>
  <cp:keywords/>
  <dc:description/>
  <cp:lastModifiedBy>Guest User</cp:lastModifiedBy>
  <cp:revision/>
  <dcterms:created xsi:type="dcterms:W3CDTF">2015-06-05T18:17:20Z</dcterms:created>
  <dcterms:modified xsi:type="dcterms:W3CDTF">2025-07-17T10:25:03Z</dcterms:modified>
  <cp:category/>
  <cp:contentStatus/>
</cp:coreProperties>
</file>